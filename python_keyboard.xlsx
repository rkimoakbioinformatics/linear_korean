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1835" activeTab="1"/>
  </bookViews>
  <sheets>
    <sheet name="Sheet1" sheetId="1" r:id="rId1"/>
    <sheet name="Sheet2" sheetId="2" r:id="rId2"/>
    <sheet name="Sheet3" sheetId="3" r:id="rId3"/>
  </sheets>
  <definedNames>
    <definedName name="a" localSheetId="0">Sheet1!$A$1:$C$703</definedName>
  </definedNames>
  <calcPr calcId="145621"/>
</workbook>
</file>

<file path=xl/calcChain.xml><?xml version="1.0" encoding="utf-8"?>
<calcChain xmlns="http://schemas.openxmlformats.org/spreadsheetml/2006/main">
  <c r="C7" i="2" l="1"/>
  <c r="D7" i="2"/>
  <c r="E7" i="2"/>
  <c r="F7" i="2"/>
  <c r="J9" i="2" l="1"/>
  <c r="I9" i="2"/>
  <c r="H9" i="2"/>
  <c r="G9" i="2"/>
  <c r="F9" i="2"/>
  <c r="E9" i="2"/>
  <c r="D9" i="2"/>
  <c r="C9" i="2"/>
  <c r="K8" i="2"/>
  <c r="J8" i="2"/>
  <c r="I8" i="2"/>
  <c r="H8" i="2"/>
  <c r="F8" i="2"/>
  <c r="E8" i="2"/>
  <c r="D8" i="2"/>
  <c r="C8" i="2"/>
  <c r="K7" i="2"/>
  <c r="J7" i="2"/>
  <c r="I7" i="2"/>
  <c r="H7" i="2"/>
  <c r="F19" i="1" l="1"/>
  <c r="S20" i="1"/>
  <c r="Q21" i="1"/>
  <c r="R20" i="1"/>
  <c r="Q20" i="1"/>
  <c r="R19" i="1"/>
  <c r="Q19" i="1"/>
  <c r="P22" i="1"/>
  <c r="O22" i="1"/>
  <c r="N22" i="1"/>
  <c r="M22" i="1"/>
  <c r="L22" i="1"/>
  <c r="K22" i="1"/>
  <c r="J22" i="1"/>
  <c r="I22" i="1"/>
  <c r="H22" i="1"/>
  <c r="G22" i="1"/>
  <c r="P21" i="1"/>
  <c r="O21" i="1"/>
  <c r="N21" i="1"/>
  <c r="L21" i="1"/>
  <c r="K21" i="1"/>
  <c r="J21" i="1"/>
  <c r="I21" i="1"/>
  <c r="H21" i="1"/>
  <c r="G21" i="1"/>
  <c r="P20" i="1"/>
  <c r="O20" i="1"/>
  <c r="N20" i="1"/>
  <c r="M20" i="1"/>
  <c r="L20" i="1"/>
  <c r="K20" i="1"/>
  <c r="J20" i="1"/>
  <c r="I20" i="1"/>
  <c r="H20" i="1"/>
  <c r="G20" i="1"/>
  <c r="P19" i="1"/>
  <c r="O19" i="1"/>
  <c r="N19" i="1"/>
  <c r="M19" i="1"/>
  <c r="L19" i="1"/>
  <c r="K19" i="1"/>
  <c r="J19" i="1"/>
  <c r="I19" i="1"/>
  <c r="H19" i="1"/>
  <c r="G19" i="1"/>
  <c r="M21" i="1"/>
  <c r="P8" i="1"/>
  <c r="P7" i="1"/>
  <c r="O9" i="1"/>
  <c r="N9" i="1"/>
  <c r="M9" i="1"/>
  <c r="L9" i="1"/>
  <c r="K9" i="1"/>
  <c r="J9" i="1"/>
  <c r="I9" i="1"/>
  <c r="H9" i="1"/>
  <c r="O8" i="1"/>
  <c r="N8" i="1"/>
  <c r="M8" i="1"/>
  <c r="K8" i="1"/>
  <c r="J8" i="1"/>
  <c r="I8" i="1"/>
  <c r="H8" i="1"/>
  <c r="O7" i="1"/>
  <c r="N7" i="1"/>
  <c r="M7" i="1"/>
  <c r="K7" i="1"/>
  <c r="J7" i="1"/>
  <c r="I7" i="1"/>
  <c r="H7" i="1"/>
  <c r="F11" i="1"/>
  <c r="G11" i="1" s="1"/>
  <c r="F18" i="1" l="1"/>
  <c r="G18" i="1" s="1"/>
  <c r="AE23" i="1"/>
  <c r="AD23" i="1"/>
  <c r="AC23" i="1"/>
  <c r="AB23" i="1"/>
  <c r="AA23" i="1"/>
  <c r="Z23" i="1"/>
  <c r="Y23" i="1"/>
  <c r="X23" i="1"/>
  <c r="W23" i="1"/>
  <c r="V23" i="1"/>
  <c r="AF22" i="1"/>
  <c r="AE22" i="1"/>
  <c r="AD22" i="1"/>
  <c r="AC22" i="1"/>
  <c r="AB22" i="1"/>
  <c r="AA22" i="1"/>
  <c r="Z22" i="1"/>
  <c r="Y22" i="1"/>
  <c r="X22" i="1"/>
  <c r="W22" i="1"/>
  <c r="V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U19" i="1" s="1"/>
  <c r="V19" i="1" s="1"/>
  <c r="U12" i="1"/>
  <c r="V12" i="1" s="1"/>
  <c r="AK8" i="1" l="1"/>
  <c r="AK9" i="1"/>
  <c r="AJ9" i="1"/>
  <c r="AP11" i="1"/>
  <c r="AO11" i="1"/>
  <c r="AN11" i="1"/>
  <c r="AM11" i="1"/>
  <c r="AL11" i="1"/>
  <c r="AP10" i="1"/>
  <c r="AN10" i="1"/>
  <c r="AM10" i="1"/>
  <c r="AL10" i="1"/>
  <c r="AP9" i="1"/>
  <c r="AO9" i="1"/>
  <c r="AN9" i="1"/>
  <c r="AM9" i="1"/>
  <c r="AL9" i="1"/>
  <c r="AW9" i="1"/>
  <c r="AV9" i="1"/>
  <c r="AU11" i="1"/>
  <c r="AT11" i="1"/>
  <c r="AS11" i="1"/>
  <c r="AR11" i="1"/>
  <c r="AQ11" i="1"/>
  <c r="AU10" i="1"/>
  <c r="AT10" i="1"/>
  <c r="AS10" i="1"/>
  <c r="AR10" i="1"/>
  <c r="AQ10" i="1"/>
  <c r="AU9" i="1"/>
  <c r="AT9" i="1"/>
  <c r="AS9" i="1"/>
  <c r="AR9" i="1"/>
  <c r="AQ9" i="1"/>
  <c r="AV8" i="1"/>
  <c r="AU8" i="1"/>
  <c r="AT8" i="1"/>
  <c r="AS8" i="1"/>
  <c r="AR8" i="1"/>
  <c r="AQ8" i="1"/>
  <c r="AP8" i="1"/>
  <c r="AO8" i="1"/>
  <c r="AN8" i="1"/>
  <c r="AM8" i="1"/>
  <c r="AL8" i="1"/>
  <c r="AO10" i="1"/>
</calcChain>
</file>

<file path=xl/connections.xml><?xml version="1.0" encoding="utf-8"?>
<connections xmlns="http://schemas.openxmlformats.org/spreadsheetml/2006/main">
  <connection id="1" name="a" type="6" refreshedVersion="4" background="1" saveData="1">
    <textPr codePage="437" sourceFile="D:\tmp\a.txt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<sst xmlns="http://schemas.openxmlformats.org/spreadsheetml/2006/main" count="1053" uniqueCount="178">
  <si>
    <t>[e]</t>
  </si>
  <si>
    <t>[t]</t>
  </si>
  <si>
    <t>[s]</t>
  </si>
  <si>
    <t>[r]</t>
  </si>
  <si>
    <t>[o]</t>
  </si>
  <si>
    <t>[a]</t>
  </si>
  <si>
    <t>[n]</t>
  </si>
  <si>
    <t>[l]</t>
  </si>
  <si>
    <t>[i]</t>
  </si>
  <si>
    <t>[f]</t>
  </si>
  <si>
    <t>[_]</t>
  </si>
  <si>
    <t>[']</t>
  </si>
  <si>
    <t>[d]</t>
  </si>
  <si>
    <t>[c]</t>
  </si>
  <si>
    <t>[p]</t>
  </si>
  <si>
    <t>[.]</t>
  </si>
  <si>
    <t>[m]</t>
  </si>
  <si>
    <t>[u]</t>
  </si>
  <si>
    <t>[=]</t>
  </si>
  <si>
    <t>[)]</t>
  </si>
  <si>
    <t>[(]</t>
  </si>
  <si>
    <t>[h]</t>
  </si>
  <si>
    <t>[:]</t>
  </si>
  <si>
    <t>[g]</t>
  </si>
  <si>
    <t>[,]</t>
  </si>
  <si>
    <t>["]</t>
  </si>
  <si>
    <t>[v]</t>
  </si>
  <si>
    <t>[b]</t>
  </si>
  <si>
    <t>[[]</t>
  </si>
  <si>
    <t>[]]</t>
  </si>
  <si>
    <t>[y]</t>
  </si>
  <si>
    <t>[w]</t>
  </si>
  <si>
    <t>[x]</t>
  </si>
  <si>
    <t>[0]</t>
  </si>
  <si>
    <t>[+]</t>
  </si>
  <si>
    <t>[k]</t>
  </si>
  <si>
    <t>[1]</t>
  </si>
  <si>
    <t>[q]</t>
  </si>
  <si>
    <t>[C]</t>
  </si>
  <si>
    <t>[N]</t>
  </si>
  <si>
    <t>[%]</t>
  </si>
  <si>
    <t>[A]</t>
  </si>
  <si>
    <t>[T]</t>
  </si>
  <si>
    <t>[3]</t>
  </si>
  <si>
    <t>[2]</t>
  </si>
  <si>
    <t>[-]</t>
  </si>
  <si>
    <t>[j]</t>
  </si>
  <si>
    <t>[#]</t>
  </si>
  <si>
    <t>[\]</t>
  </si>
  <si>
    <t>[F]</t>
  </si>
  <si>
    <t>[9]</t>
  </si>
  <si>
    <t>[I]</t>
  </si>
  <si>
    <t>[{]</t>
  </si>
  <si>
    <t>[}]</t>
  </si>
  <si>
    <t>[8]</t>
  </si>
  <si>
    <t>[E]</t>
  </si>
  <si>
    <t>[/]</t>
  </si>
  <si>
    <t>[S]</t>
  </si>
  <si>
    <t>[5]</t>
  </si>
  <si>
    <t>[4]</t>
  </si>
  <si>
    <t>[G]</t>
  </si>
  <si>
    <t>[R]</t>
  </si>
  <si>
    <t>[6]</t>
  </si>
  <si>
    <t>[z]</t>
  </si>
  <si>
    <t>[&gt;]</t>
  </si>
  <si>
    <t>[B]</t>
  </si>
  <si>
    <t>[H]</t>
  </si>
  <si>
    <t>[P]</t>
  </si>
  <si>
    <t>[D]</t>
  </si>
  <si>
    <t>[U]</t>
  </si>
  <si>
    <t>[7]</t>
  </si>
  <si>
    <t>[O]</t>
  </si>
  <si>
    <t>[*]</t>
  </si>
  <si>
    <t>[M]</t>
  </si>
  <si>
    <t>[L]</t>
  </si>
  <si>
    <t>[!]</t>
  </si>
  <si>
    <t>[&lt;]</t>
  </si>
  <si>
    <t>[V]</t>
  </si>
  <si>
    <t>[;]</t>
  </si>
  <si>
    <t>[W]</t>
  </si>
  <si>
    <t>[?]</t>
  </si>
  <si>
    <t>[K]</t>
  </si>
  <si>
    <t>[X]</t>
  </si>
  <si>
    <t>[Y]</t>
  </si>
  <si>
    <t>[Q]</t>
  </si>
  <si>
    <t>[Z]</t>
  </si>
  <si>
    <t>[^]</t>
  </si>
  <si>
    <t>[|]</t>
  </si>
  <si>
    <t>[J]</t>
  </si>
  <si>
    <t>[@]</t>
  </si>
  <si>
    <t>[`]</t>
  </si>
  <si>
    <t>[&amp;]</t>
  </si>
  <si>
    <t>####################</t>
  </si>
  <si>
    <t>174442 letters</t>
  </si>
  <si>
    <t>e</t>
  </si>
  <si>
    <t>t</t>
  </si>
  <si>
    <t>s</t>
  </si>
  <si>
    <t>r</t>
  </si>
  <si>
    <t>o</t>
  </si>
  <si>
    <t>a</t>
  </si>
  <si>
    <t>n</t>
  </si>
  <si>
    <t>l</t>
  </si>
  <si>
    <t>i</t>
  </si>
  <si>
    <t>f</t>
  </si>
  <si>
    <t>_</t>
  </si>
  <si>
    <t>'</t>
  </si>
  <si>
    <t>d</t>
  </si>
  <si>
    <t>c</t>
  </si>
  <si>
    <t>p</t>
  </si>
  <si>
    <t>.</t>
  </si>
  <si>
    <t>m</t>
  </si>
  <si>
    <t>u</t>
  </si>
  <si>
    <t>=</t>
  </si>
  <si>
    <t>)</t>
  </si>
  <si>
    <t>(</t>
  </si>
  <si>
    <t>h</t>
  </si>
  <si>
    <t>:</t>
  </si>
  <si>
    <t>g</t>
  </si>
  <si>
    <t>,</t>
  </si>
  <si>
    <t>"</t>
  </si>
  <si>
    <t>v</t>
  </si>
  <si>
    <t>b</t>
  </si>
  <si>
    <t>[</t>
  </si>
  <si>
    <t>]</t>
  </si>
  <si>
    <t>y</t>
  </si>
  <si>
    <t>w</t>
  </si>
  <si>
    <t>x</t>
  </si>
  <si>
    <t>+</t>
  </si>
  <si>
    <t>k</t>
  </si>
  <si>
    <t>q</t>
  </si>
  <si>
    <t>C</t>
  </si>
  <si>
    <t>N</t>
  </si>
  <si>
    <t>%</t>
  </si>
  <si>
    <t>A</t>
  </si>
  <si>
    <t>S</t>
  </si>
  <si>
    <t>E</t>
  </si>
  <si>
    <t>Y</t>
  </si>
  <si>
    <t>X</t>
  </si>
  <si>
    <t>V</t>
  </si>
  <si>
    <t>I</t>
  </si>
  <si>
    <t>O</t>
  </si>
  <si>
    <t>D</t>
  </si>
  <si>
    <t>B</t>
  </si>
  <si>
    <t>F</t>
  </si>
  <si>
    <t>Q</t>
  </si>
  <si>
    <t>G</t>
  </si>
  <si>
    <t>T</t>
  </si>
  <si>
    <t>R</t>
  </si>
  <si>
    <t>L</t>
  </si>
  <si>
    <t>K</t>
  </si>
  <si>
    <t>W</t>
  </si>
  <si>
    <t>U</t>
  </si>
  <si>
    <t>H</t>
  </si>
  <si>
    <t>P</t>
  </si>
  <si>
    <t>M</t>
  </si>
  <si>
    <t>z</t>
  </si>
  <si>
    <t>Z</t>
  </si>
  <si>
    <t>j</t>
  </si>
  <si>
    <t>J</t>
  </si>
  <si>
    <t>-</t>
  </si>
  <si>
    <t>#</t>
  </si>
  <si>
    <t>\</t>
  </si>
  <si>
    <t>/</t>
  </si>
  <si>
    <t>*</t>
  </si>
  <si>
    <t>;</t>
  </si>
  <si>
    <t>{</t>
  </si>
  <si>
    <t>}</t>
  </si>
  <si>
    <t>|</t>
  </si>
  <si>
    <t>@</t>
  </si>
  <si>
    <t>&amp;</t>
  </si>
  <si>
    <t>`</t>
  </si>
  <si>
    <t>^</t>
  </si>
  <si>
    <t>&lt;</t>
  </si>
  <si>
    <t>&gt;</t>
  </si>
  <si>
    <t>!</t>
  </si>
  <si>
    <t>?</t>
  </si>
  <si>
    <t>$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</si>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</sst>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quotePrefix="1" applyBorder="1"/>
    <xf numFmtId="0" fontId="0" fillId="0" borderId="0" xfId="0" applyFill="1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2" xfId="0" quotePrefix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quotePrefix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quotePrefix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quotePrefix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/>
    <xf numFmtId="0" fontId="1" fillId="2" borderId="0" xfId="0" applyFont="1" applyFill="1"/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0" xfId="0" quotePrefix="1" applyFill="1" applyBorder="1" applyAlignment="1">
      <alignment horizontal="center" vertical="center"/>
    </xf>
    <xf numFmtId="0" fontId="0" fillId="0" borderId="5" xfId="0" applyFill="1" applyBorder="1"/>
    <xf numFmtId="0" fontId="0" fillId="2" borderId="1" xfId="0" quotePrefix="1" applyFill="1" applyBorder="1" applyAlignment="1">
      <alignment horizontal="center" vertical="center"/>
    </xf>
    <xf numFmtId="0" fontId="0" fillId="2" borderId="6" xfId="0" quotePrefix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quotePrefix="1" applyFill="1" applyBorder="1" applyAlignment="1">
      <alignment horizontal="center" vertical="center"/>
    </xf>
    <xf numFmtId="0" fontId="0" fillId="0" borderId="0" xfId="0" quotePrefix="1"/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Fill="1" applyBorder="1" applyAlignment="1">
      <alignment horizontal="center" vertical="center"/>
    </xf>
    <xf numFmtId="0" fontId="2" fillId="2" borderId="0" xfId="0" applyFont="1" applyFill="1"/>
    <xf numFmtId="0" fontId="0" fillId="2" borderId="0" xfId="0" applyFont="1" applyFill="1"/>
    <xf numFmtId="0" fontId="0" fillId="3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quotePrefix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0" fillId="3" borderId="2" xfId="0" quotePrefix="1" applyFill="1" applyBorder="1" applyAlignment="1">
      <alignment horizontal="center"/>
    </xf>
    <xf numFmtId="0" fontId="0" fillId="3" borderId="3" xfId="0" quotePrefix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4" xfId="0" quotePrefix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0" xfId="0" applyFill="1"/>
    <xf numFmtId="0" fontId="0" fillId="3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quotePrefix="1" applyFill="1" applyBorder="1" applyAlignment="1">
      <alignment horizontal="center"/>
    </xf>
    <xf numFmtId="0" fontId="0" fillId="0" borderId="3" xfId="0" quotePrefix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4" xfId="0" quotePrefix="1" applyFill="1" applyBorder="1" applyAlignment="1">
      <alignment horizontal="center"/>
    </xf>
    <xf numFmtId="0" fontId="0" fillId="0" borderId="0" xfId="0" quotePrefix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03"/>
  <sheetViews>
    <sheetView workbookViewId="0">
      <selection activeCell="I2" sqref="I2"/>
    </sheetView>
  </sheetViews>
  <sheetFormatPr defaultRowHeight="15" x14ac:dyDescent="0.25"/>
  <cols>
    <col min="1" max="1" width="7.28515625" customWidth="1"/>
    <col min="2" max="2" width="12.7109375" customWidth="1"/>
    <col min="3" max="3" width="3.7109375" style="36" customWidth="1"/>
    <col min="4" max="4" width="3.7109375" customWidth="1"/>
    <col min="5" max="5" width="5" customWidth="1"/>
    <col min="6" max="50" width="3.7109375" customWidth="1"/>
    <col min="51" max="55" width="3.7109375" style="36" customWidth="1"/>
    <col min="56" max="65" width="3.7109375" customWidth="1"/>
  </cols>
  <sheetData>
    <row r="1" spans="1:55" x14ac:dyDescent="0.25">
      <c r="A1" s="57" t="s">
        <v>0</v>
      </c>
      <c r="B1">
        <v>15921</v>
      </c>
      <c r="C1" s="36" t="s">
        <v>94</v>
      </c>
      <c r="D1" s="66" t="s">
        <v>104</v>
      </c>
      <c r="F1" s="74" t="s">
        <v>170</v>
      </c>
      <c r="G1" s="65" t="s">
        <v>168</v>
      </c>
      <c r="H1" s="65" t="s">
        <v>163</v>
      </c>
      <c r="I1" s="65" t="s">
        <v>119</v>
      </c>
      <c r="J1" s="68" t="s">
        <v>112</v>
      </c>
      <c r="K1" s="69" t="s">
        <v>155</v>
      </c>
      <c r="L1" s="64" t="s">
        <v>159</v>
      </c>
      <c r="M1" s="65" t="s">
        <v>132</v>
      </c>
      <c r="N1" s="65" t="s">
        <v>128</v>
      </c>
      <c r="O1" s="68" t="s">
        <v>109</v>
      </c>
      <c r="P1" s="65" t="s">
        <v>118</v>
      </c>
      <c r="Q1" s="65" t="s">
        <v>162</v>
      </c>
      <c r="R1" s="64" t="s">
        <v>161</v>
      </c>
      <c r="S1" s="36"/>
      <c r="U1" s="30" t="s">
        <v>161</v>
      </c>
      <c r="V1" s="19" t="s">
        <v>129</v>
      </c>
      <c r="W1" s="19" t="s">
        <v>128</v>
      </c>
      <c r="X1" s="19" t="s">
        <v>121</v>
      </c>
      <c r="Y1" s="19" t="s">
        <v>119</v>
      </c>
      <c r="Z1" s="34" t="s">
        <v>164</v>
      </c>
      <c r="AA1" s="25"/>
      <c r="AB1" s="19" t="s">
        <v>155</v>
      </c>
      <c r="AC1" s="19" t="s">
        <v>124</v>
      </c>
      <c r="AD1" s="19" t="s">
        <v>120</v>
      </c>
      <c r="AE1" s="19" t="s">
        <v>126</v>
      </c>
      <c r="AF1" s="19"/>
      <c r="AG1" s="21" t="s">
        <v>159</v>
      </c>
      <c r="AH1" s="14"/>
      <c r="AY1" s="36">
        <v>1</v>
      </c>
      <c r="AZ1" s="36" t="s">
        <v>94</v>
      </c>
      <c r="BB1" s="36">
        <v>47</v>
      </c>
      <c r="BC1" s="36" t="s">
        <v>135</v>
      </c>
    </row>
    <row r="2" spans="1:55" ht="15.75" thickBot="1" x14ac:dyDescent="0.3">
      <c r="A2" s="57" t="s">
        <v>1</v>
      </c>
      <c r="B2">
        <v>11419</v>
      </c>
      <c r="C2" s="36" t="s">
        <v>95</v>
      </c>
      <c r="D2" s="67" t="s">
        <v>105</v>
      </c>
      <c r="F2" s="36"/>
      <c r="G2" s="71" t="s">
        <v>127</v>
      </c>
      <c r="H2" s="58" t="s">
        <v>111</v>
      </c>
      <c r="I2" s="58" t="s">
        <v>110</v>
      </c>
      <c r="J2" s="58" t="s">
        <v>107</v>
      </c>
      <c r="K2" s="59" t="s">
        <v>103</v>
      </c>
      <c r="L2" s="59" t="s">
        <v>104</v>
      </c>
      <c r="M2" s="58" t="s">
        <v>124</v>
      </c>
      <c r="N2" s="58" t="s">
        <v>102</v>
      </c>
      <c r="O2" s="60" t="s">
        <v>106</v>
      </c>
      <c r="P2" s="58" t="s">
        <v>108</v>
      </c>
      <c r="Q2" s="58" t="s">
        <v>122</v>
      </c>
      <c r="R2" s="62" t="s">
        <v>172</v>
      </c>
      <c r="S2" s="76" t="s">
        <v>167</v>
      </c>
      <c r="U2" s="14"/>
      <c r="V2" s="37" t="s">
        <v>106</v>
      </c>
      <c r="W2" s="38" t="s">
        <v>104</v>
      </c>
      <c r="X2" s="38" t="s">
        <v>102</v>
      </c>
      <c r="Y2" s="38" t="s">
        <v>117</v>
      </c>
      <c r="Z2" s="22" t="s">
        <v>118</v>
      </c>
      <c r="AA2" s="20" t="s">
        <v>122</v>
      </c>
      <c r="AB2" s="38" t="s">
        <v>115</v>
      </c>
      <c r="AC2" s="38" t="s">
        <v>103</v>
      </c>
      <c r="AD2" s="39" t="s">
        <v>105</v>
      </c>
      <c r="AE2" s="38" t="s">
        <v>107</v>
      </c>
      <c r="AF2" s="26" t="s">
        <v>162</v>
      </c>
      <c r="AG2" s="16" t="s">
        <v>174</v>
      </c>
      <c r="AH2" s="31" t="s">
        <v>160</v>
      </c>
      <c r="AK2" s="1">
        <v>41</v>
      </c>
      <c r="AL2" s="2">
        <v>35</v>
      </c>
      <c r="AM2" s="2">
        <v>25</v>
      </c>
      <c r="AN2" s="2">
        <v>23</v>
      </c>
      <c r="AO2" s="2">
        <v>29</v>
      </c>
      <c r="AP2" s="1">
        <v>45</v>
      </c>
      <c r="AQ2" s="3">
        <v>46</v>
      </c>
      <c r="AR2" s="2">
        <v>30</v>
      </c>
      <c r="AS2" s="2">
        <v>24</v>
      </c>
      <c r="AT2" s="2">
        <v>26</v>
      </c>
      <c r="AU2" s="2">
        <v>36</v>
      </c>
      <c r="AV2" s="3">
        <v>42</v>
      </c>
      <c r="AY2" s="36">
        <v>2</v>
      </c>
      <c r="AZ2" s="36" t="s">
        <v>95</v>
      </c>
      <c r="BB2" s="36">
        <v>48</v>
      </c>
      <c r="BC2" s="36" t="s">
        <v>146</v>
      </c>
    </row>
    <row r="3" spans="1:55" ht="15.75" thickBot="1" x14ac:dyDescent="0.3">
      <c r="A3" s="57" t="s">
        <v>2</v>
      </c>
      <c r="B3">
        <v>10130</v>
      </c>
      <c r="C3" s="36" t="s">
        <v>96</v>
      </c>
      <c r="D3" s="67" t="s">
        <v>109</v>
      </c>
      <c r="F3" s="36"/>
      <c r="G3" s="73" t="s">
        <v>164</v>
      </c>
      <c r="H3" s="58" t="s">
        <v>100</v>
      </c>
      <c r="I3" s="58" t="s">
        <v>98</v>
      </c>
      <c r="J3" s="61" t="s">
        <v>96</v>
      </c>
      <c r="K3" s="59" t="s">
        <v>94</v>
      </c>
      <c r="L3" s="60" t="s">
        <v>105</v>
      </c>
      <c r="M3" s="61" t="s">
        <v>95</v>
      </c>
      <c r="N3" s="58" t="s">
        <v>97</v>
      </c>
      <c r="O3" s="58" t="s">
        <v>99</v>
      </c>
      <c r="P3" s="58" t="s">
        <v>101</v>
      </c>
      <c r="Q3" s="63" t="s">
        <v>165</v>
      </c>
      <c r="R3" s="36"/>
      <c r="S3" s="36"/>
      <c r="U3" s="14"/>
      <c r="V3" s="37" t="s">
        <v>100</v>
      </c>
      <c r="W3" s="38" t="s">
        <v>98</v>
      </c>
      <c r="X3" s="38" t="s">
        <v>96</v>
      </c>
      <c r="Y3" s="38" t="s">
        <v>94</v>
      </c>
      <c r="Z3" s="22" t="s">
        <v>116</v>
      </c>
      <c r="AA3" s="20" t="s">
        <v>114</v>
      </c>
      <c r="AB3" s="38" t="s">
        <v>95</v>
      </c>
      <c r="AC3" s="38" t="s">
        <v>97</v>
      </c>
      <c r="AD3" s="38" t="s">
        <v>99</v>
      </c>
      <c r="AE3" s="38" t="s">
        <v>101</v>
      </c>
      <c r="AF3" s="27"/>
      <c r="AG3" s="14"/>
      <c r="AH3" s="14"/>
      <c r="AJ3" s="12">
        <v>39</v>
      </c>
      <c r="AK3" s="8">
        <v>37</v>
      </c>
      <c r="AL3" s="5">
        <v>13</v>
      </c>
      <c r="AM3" s="11">
        <v>11</v>
      </c>
      <c r="AN3" s="5">
        <v>9</v>
      </c>
      <c r="AO3" s="11">
        <v>27</v>
      </c>
      <c r="AP3" s="4">
        <v>33</v>
      </c>
      <c r="AQ3" s="6">
        <v>34</v>
      </c>
      <c r="AR3" s="5">
        <v>28</v>
      </c>
      <c r="AS3" s="5">
        <v>10</v>
      </c>
      <c r="AT3" s="5">
        <v>12</v>
      </c>
      <c r="AU3" s="5">
        <v>14</v>
      </c>
      <c r="AV3" s="8">
        <v>38</v>
      </c>
      <c r="AW3" s="13">
        <v>40</v>
      </c>
      <c r="AY3" s="36">
        <v>3</v>
      </c>
      <c r="AZ3" s="36" t="s">
        <v>96</v>
      </c>
      <c r="BB3" s="36">
        <v>49</v>
      </c>
      <c r="BC3" s="36" t="s">
        <v>134</v>
      </c>
    </row>
    <row r="4" spans="1:55" x14ac:dyDescent="0.25">
      <c r="A4" s="57" t="s">
        <v>3</v>
      </c>
      <c r="B4">
        <v>9795</v>
      </c>
      <c r="C4" s="36" t="s">
        <v>97</v>
      </c>
      <c r="D4" s="67" t="s">
        <v>112</v>
      </c>
      <c r="F4" s="36"/>
      <c r="G4" s="70" t="s">
        <v>116</v>
      </c>
      <c r="H4" s="62" t="s">
        <v>126</v>
      </c>
      <c r="I4" s="62" t="s">
        <v>121</v>
      </c>
      <c r="J4" s="62" t="s">
        <v>117</v>
      </c>
      <c r="K4" s="63" t="s">
        <v>157</v>
      </c>
      <c r="L4" s="63" t="s">
        <v>129</v>
      </c>
      <c r="M4" s="62" t="s">
        <v>115</v>
      </c>
      <c r="N4" s="62" t="s">
        <v>120</v>
      </c>
      <c r="O4" s="62" t="s">
        <v>125</v>
      </c>
      <c r="P4" s="63" t="s">
        <v>114</v>
      </c>
      <c r="Q4" s="36"/>
      <c r="R4" s="36"/>
      <c r="S4" s="36"/>
      <c r="U4" s="14"/>
      <c r="V4" s="23" t="s">
        <v>176</v>
      </c>
      <c r="W4" s="24" t="s">
        <v>109</v>
      </c>
      <c r="X4" s="16" t="s">
        <v>111</v>
      </c>
      <c r="Y4" s="16" t="s">
        <v>157</v>
      </c>
      <c r="Z4" s="23" t="s">
        <v>172</v>
      </c>
      <c r="AA4" s="27" t="s">
        <v>165</v>
      </c>
      <c r="AB4" s="16" t="s">
        <v>108</v>
      </c>
      <c r="AC4" s="16" t="s">
        <v>110</v>
      </c>
      <c r="AD4" s="24" t="s">
        <v>112</v>
      </c>
      <c r="AE4" s="27" t="s">
        <v>125</v>
      </c>
      <c r="AF4" s="14"/>
      <c r="AG4" s="14"/>
      <c r="AH4" s="14"/>
      <c r="AL4" s="4">
        <v>7</v>
      </c>
      <c r="AM4" s="11">
        <v>5</v>
      </c>
      <c r="AN4" s="5">
        <v>3</v>
      </c>
      <c r="AO4" s="5">
        <v>1</v>
      </c>
      <c r="AP4" s="4">
        <v>31</v>
      </c>
      <c r="AQ4" s="6">
        <v>32</v>
      </c>
      <c r="AR4" s="5">
        <v>2</v>
      </c>
      <c r="AS4" s="5">
        <v>4</v>
      </c>
      <c r="AT4" s="5">
        <v>6</v>
      </c>
      <c r="AU4" s="6">
        <v>8</v>
      </c>
      <c r="AY4" s="36">
        <v>4</v>
      </c>
      <c r="AZ4" s="36" t="s">
        <v>97</v>
      </c>
      <c r="BB4" s="36">
        <v>50</v>
      </c>
      <c r="BC4" s="36" t="s">
        <v>147</v>
      </c>
    </row>
    <row r="5" spans="1:55" x14ac:dyDescent="0.25">
      <c r="A5" s="57" t="s">
        <v>4</v>
      </c>
      <c r="B5">
        <v>9245</v>
      </c>
      <c r="C5" s="36" t="s">
        <v>98</v>
      </c>
      <c r="D5" s="66" t="s">
        <v>114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L5" s="7">
        <v>21</v>
      </c>
      <c r="AM5" s="8">
        <v>19</v>
      </c>
      <c r="AN5" s="8">
        <v>17</v>
      </c>
      <c r="AO5" s="8">
        <v>15</v>
      </c>
      <c r="AP5" s="7">
        <v>43</v>
      </c>
      <c r="AQ5" s="9">
        <v>44</v>
      </c>
      <c r="AR5" s="8">
        <v>16</v>
      </c>
      <c r="AS5" s="8">
        <v>18</v>
      </c>
      <c r="AT5" s="8">
        <v>20</v>
      </c>
      <c r="AU5" s="9">
        <v>22</v>
      </c>
      <c r="AY5" s="36">
        <v>5</v>
      </c>
      <c r="AZ5" s="36" t="s">
        <v>98</v>
      </c>
      <c r="BB5" s="36">
        <v>51</v>
      </c>
      <c r="BC5" s="36" t="s">
        <v>140</v>
      </c>
    </row>
    <row r="6" spans="1:55" x14ac:dyDescent="0.25">
      <c r="A6" s="57" t="s">
        <v>5</v>
      </c>
      <c r="B6">
        <v>9162</v>
      </c>
      <c r="C6" s="36" t="s">
        <v>99</v>
      </c>
      <c r="D6" s="66" t="s">
        <v>113</v>
      </c>
      <c r="F6" s="74" t="s">
        <v>177</v>
      </c>
      <c r="G6" s="65">
        <v>1</v>
      </c>
      <c r="H6" s="65">
        <v>2</v>
      </c>
      <c r="I6" s="65">
        <v>3</v>
      </c>
      <c r="J6" s="65">
        <v>4</v>
      </c>
      <c r="K6" s="72" t="s">
        <v>156</v>
      </c>
      <c r="L6" s="64">
        <v>5</v>
      </c>
      <c r="M6" s="65">
        <v>6</v>
      </c>
      <c r="N6" s="65" t="s">
        <v>149</v>
      </c>
      <c r="O6" s="65">
        <v>7</v>
      </c>
      <c r="P6" s="65">
        <v>8</v>
      </c>
      <c r="Q6" s="65">
        <v>9</v>
      </c>
      <c r="R6" s="64">
        <v>0</v>
      </c>
      <c r="S6" s="36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Y6" s="36">
        <v>6</v>
      </c>
      <c r="AZ6" s="36" t="s">
        <v>99</v>
      </c>
      <c r="BB6" s="36">
        <v>52</v>
      </c>
      <c r="BC6" s="36" t="s">
        <v>133</v>
      </c>
    </row>
    <row r="7" spans="1:55" x14ac:dyDescent="0.25">
      <c r="A7" s="57" t="s">
        <v>6</v>
      </c>
      <c r="B7">
        <v>8835</v>
      </c>
      <c r="C7" s="36" t="s">
        <v>100</v>
      </c>
      <c r="D7" s="66" t="s">
        <v>116</v>
      </c>
      <c r="F7" s="36"/>
      <c r="G7" s="73" t="s">
        <v>174</v>
      </c>
      <c r="H7" s="58" t="str">
        <f>UPPER(H2)</f>
        <v>U</v>
      </c>
      <c r="I7" s="58" t="str">
        <f t="shared" ref="I7:P7" si="0">UPPER(I2)</f>
        <v>M</v>
      </c>
      <c r="J7" s="58" t="str">
        <f t="shared" si="0"/>
        <v>C</v>
      </c>
      <c r="K7" s="58" t="str">
        <f t="shared" si="0"/>
        <v>F</v>
      </c>
      <c r="L7" s="58" t="s">
        <v>169</v>
      </c>
      <c r="M7" s="58" t="str">
        <f t="shared" si="0"/>
        <v>Y</v>
      </c>
      <c r="N7" s="58" t="str">
        <f t="shared" si="0"/>
        <v>I</v>
      </c>
      <c r="O7" s="58" t="str">
        <f t="shared" si="0"/>
        <v>D</v>
      </c>
      <c r="P7" s="58" t="str">
        <f t="shared" si="0"/>
        <v>P</v>
      </c>
      <c r="Q7" s="58" t="s">
        <v>123</v>
      </c>
      <c r="R7" s="62" t="s">
        <v>173</v>
      </c>
      <c r="S7" s="76" t="s">
        <v>160</v>
      </c>
      <c r="U7" s="30" t="s">
        <v>171</v>
      </c>
      <c r="V7" s="19" t="s">
        <v>144</v>
      </c>
      <c r="W7" s="19" t="s">
        <v>149</v>
      </c>
      <c r="X7" s="19" t="s">
        <v>142</v>
      </c>
      <c r="Y7" s="19"/>
      <c r="Z7" s="34"/>
      <c r="AA7" s="25"/>
      <c r="AB7" s="19" t="s">
        <v>156</v>
      </c>
      <c r="AC7" s="19" t="s">
        <v>136</v>
      </c>
      <c r="AD7" s="19" t="s">
        <v>138</v>
      </c>
      <c r="AE7" s="19" t="s">
        <v>137</v>
      </c>
      <c r="AF7" s="19"/>
      <c r="AG7" s="21"/>
      <c r="AH7" s="14"/>
      <c r="AY7" s="36">
        <v>7</v>
      </c>
      <c r="AZ7" s="36" t="s">
        <v>100</v>
      </c>
      <c r="BB7" s="36">
        <v>53</v>
      </c>
      <c r="BC7" s="36" t="s">
        <v>131</v>
      </c>
    </row>
    <row r="8" spans="1:55" x14ac:dyDescent="0.25">
      <c r="A8" s="57" t="s">
        <v>7</v>
      </c>
      <c r="B8">
        <v>7970</v>
      </c>
      <c r="C8" s="36" t="s">
        <v>101</v>
      </c>
      <c r="D8" s="66" t="s">
        <v>118</v>
      </c>
      <c r="F8" s="36"/>
      <c r="G8" s="73" t="s">
        <v>175</v>
      </c>
      <c r="H8" s="58" t="str">
        <f t="shared" ref="H8:P8" si="1">UPPER(H3)</f>
        <v>N</v>
      </c>
      <c r="I8" s="58" t="str">
        <f t="shared" si="1"/>
        <v>O</v>
      </c>
      <c r="J8" s="58" t="str">
        <f t="shared" si="1"/>
        <v>S</v>
      </c>
      <c r="K8" s="58" t="str">
        <f t="shared" si="1"/>
        <v>E</v>
      </c>
      <c r="L8" s="60" t="s">
        <v>176</v>
      </c>
      <c r="M8" s="58" t="str">
        <f t="shared" si="1"/>
        <v>T</v>
      </c>
      <c r="N8" s="58" t="str">
        <f t="shared" si="1"/>
        <v>R</v>
      </c>
      <c r="O8" s="58" t="str">
        <f t="shared" si="1"/>
        <v>A</v>
      </c>
      <c r="P8" s="58" t="str">
        <f t="shared" si="1"/>
        <v>L</v>
      </c>
      <c r="Q8" s="63" t="s">
        <v>166</v>
      </c>
      <c r="R8" s="36"/>
      <c r="S8" s="36"/>
      <c r="U8" s="14"/>
      <c r="V8" s="37" t="s">
        <v>141</v>
      </c>
      <c r="W8" s="17" t="s">
        <v>169</v>
      </c>
      <c r="X8" s="38" t="s">
        <v>139</v>
      </c>
      <c r="Y8" s="38" t="s">
        <v>145</v>
      </c>
      <c r="Z8" s="22"/>
      <c r="AA8" s="20" t="s">
        <v>123</v>
      </c>
      <c r="AB8" s="38" t="s">
        <v>152</v>
      </c>
      <c r="AC8" s="38" t="s">
        <v>143</v>
      </c>
      <c r="AD8" s="26" t="s">
        <v>163</v>
      </c>
      <c r="AE8" s="38" t="s">
        <v>130</v>
      </c>
      <c r="AF8" s="26"/>
      <c r="AG8" s="16" t="s">
        <v>175</v>
      </c>
      <c r="AH8" s="31"/>
      <c r="AK8" s="1">
        <f>AK2+46</f>
        <v>87</v>
      </c>
      <c r="AL8" s="2">
        <f t="shared" ref="AL8:AP8" si="2">AL2+46</f>
        <v>81</v>
      </c>
      <c r="AM8" s="2">
        <f t="shared" si="2"/>
        <v>71</v>
      </c>
      <c r="AN8" s="2">
        <f t="shared" si="2"/>
        <v>69</v>
      </c>
      <c r="AO8" s="2">
        <f t="shared" si="2"/>
        <v>75</v>
      </c>
      <c r="AP8" s="1">
        <f t="shared" si="2"/>
        <v>91</v>
      </c>
      <c r="AQ8" s="3">
        <f t="shared" ref="AQ8:AV8" si="3">AQ2+46</f>
        <v>92</v>
      </c>
      <c r="AR8" s="2">
        <f t="shared" si="3"/>
        <v>76</v>
      </c>
      <c r="AS8" s="2">
        <f t="shared" si="3"/>
        <v>70</v>
      </c>
      <c r="AT8" s="2">
        <f t="shared" si="3"/>
        <v>72</v>
      </c>
      <c r="AU8" s="2">
        <f t="shared" si="3"/>
        <v>82</v>
      </c>
      <c r="AV8" s="3">
        <f t="shared" si="3"/>
        <v>88</v>
      </c>
      <c r="AY8" s="36">
        <v>8</v>
      </c>
      <c r="AZ8" s="36" t="s">
        <v>101</v>
      </c>
      <c r="BB8" s="36">
        <v>54</v>
      </c>
      <c r="BC8" s="36" t="s">
        <v>148</v>
      </c>
    </row>
    <row r="9" spans="1:55" x14ac:dyDescent="0.25">
      <c r="A9" s="57" t="s">
        <v>8</v>
      </c>
      <c r="B9">
        <v>7770</v>
      </c>
      <c r="C9" s="36" t="s">
        <v>102</v>
      </c>
      <c r="D9" s="66" t="s">
        <v>119</v>
      </c>
      <c r="F9" s="36"/>
      <c r="G9" s="70" t="s">
        <v>171</v>
      </c>
      <c r="H9" s="62" t="str">
        <f t="shared" ref="H9:O9" si="4">UPPER(H4)</f>
        <v>X</v>
      </c>
      <c r="I9" s="62" t="str">
        <f t="shared" si="4"/>
        <v>B</v>
      </c>
      <c r="J9" s="62" t="str">
        <f t="shared" si="4"/>
        <v>G</v>
      </c>
      <c r="K9" s="62" t="str">
        <f t="shared" si="4"/>
        <v>J</v>
      </c>
      <c r="L9" s="62" t="str">
        <f t="shared" si="4"/>
        <v>Q</v>
      </c>
      <c r="M9" s="62" t="str">
        <f t="shared" si="4"/>
        <v>H</v>
      </c>
      <c r="N9" s="62" t="str">
        <f t="shared" si="4"/>
        <v>V</v>
      </c>
      <c r="O9" s="62" t="str">
        <f t="shared" si="4"/>
        <v>W</v>
      </c>
      <c r="P9" s="63" t="s">
        <v>113</v>
      </c>
      <c r="Q9" s="36"/>
      <c r="R9" s="36"/>
      <c r="S9" s="36"/>
      <c r="U9" s="14"/>
      <c r="V9" s="37" t="s">
        <v>131</v>
      </c>
      <c r="W9" s="38" t="s">
        <v>140</v>
      </c>
      <c r="X9" s="38" t="s">
        <v>134</v>
      </c>
      <c r="Y9" s="38" t="s">
        <v>135</v>
      </c>
      <c r="Z9" s="22"/>
      <c r="AA9" s="20" t="s">
        <v>113</v>
      </c>
      <c r="AB9" s="38" t="s">
        <v>146</v>
      </c>
      <c r="AC9" s="38" t="s">
        <v>147</v>
      </c>
      <c r="AD9" s="38" t="s">
        <v>133</v>
      </c>
      <c r="AE9" s="38" t="s">
        <v>148</v>
      </c>
      <c r="AF9" s="27" t="s">
        <v>167</v>
      </c>
      <c r="AG9" s="14"/>
      <c r="AH9" s="14"/>
      <c r="AJ9" s="12">
        <f t="shared" ref="AJ9:AK9" si="5">AJ3+46</f>
        <v>85</v>
      </c>
      <c r="AK9" s="8">
        <f t="shared" si="5"/>
        <v>83</v>
      </c>
      <c r="AL9" s="5">
        <f t="shared" ref="AL9:AP9" si="6">AL3+46</f>
        <v>59</v>
      </c>
      <c r="AM9" s="11">
        <f t="shared" si="6"/>
        <v>57</v>
      </c>
      <c r="AN9" s="5">
        <f t="shared" si="6"/>
        <v>55</v>
      </c>
      <c r="AO9" s="11">
        <f t="shared" si="6"/>
        <v>73</v>
      </c>
      <c r="AP9" s="4">
        <f t="shared" si="6"/>
        <v>79</v>
      </c>
      <c r="AQ9" s="6">
        <f t="shared" ref="AQ9:AW9" si="7">AQ3+46</f>
        <v>80</v>
      </c>
      <c r="AR9" s="5">
        <f t="shared" si="7"/>
        <v>74</v>
      </c>
      <c r="AS9" s="5">
        <f t="shared" si="7"/>
        <v>56</v>
      </c>
      <c r="AT9" s="5">
        <f t="shared" si="7"/>
        <v>58</v>
      </c>
      <c r="AU9" s="5">
        <f t="shared" si="7"/>
        <v>60</v>
      </c>
      <c r="AV9" s="8">
        <f t="shared" si="7"/>
        <v>84</v>
      </c>
      <c r="AW9" s="13">
        <f t="shared" si="7"/>
        <v>86</v>
      </c>
      <c r="AY9" s="36">
        <v>9</v>
      </c>
      <c r="AZ9" s="36" t="s">
        <v>102</v>
      </c>
      <c r="BB9" s="36">
        <v>55</v>
      </c>
      <c r="BC9" s="36" t="s">
        <v>139</v>
      </c>
    </row>
    <row r="10" spans="1:55" x14ac:dyDescent="0.25">
      <c r="A10" s="57" t="s">
        <v>9</v>
      </c>
      <c r="B10">
        <v>5916</v>
      </c>
      <c r="C10" s="36" t="s">
        <v>103</v>
      </c>
      <c r="D10" s="66" t="s">
        <v>122</v>
      </c>
      <c r="U10" s="14"/>
      <c r="V10" s="23" t="s">
        <v>168</v>
      </c>
      <c r="W10" s="24"/>
      <c r="X10" s="16" t="s">
        <v>151</v>
      </c>
      <c r="Y10" s="16" t="s">
        <v>158</v>
      </c>
      <c r="Z10" s="23" t="s">
        <v>173</v>
      </c>
      <c r="AA10" s="27" t="s">
        <v>166</v>
      </c>
      <c r="AB10" s="16" t="s">
        <v>153</v>
      </c>
      <c r="AC10" s="16" t="s">
        <v>154</v>
      </c>
      <c r="AD10" s="24" t="s">
        <v>166</v>
      </c>
      <c r="AE10" s="27" t="s">
        <v>150</v>
      </c>
      <c r="AF10" s="14"/>
      <c r="AG10" s="14"/>
      <c r="AH10" s="14"/>
      <c r="AL10" s="4">
        <f t="shared" ref="AL10:AN10" si="8">AL4+46</f>
        <v>53</v>
      </c>
      <c r="AM10" s="11">
        <f t="shared" si="8"/>
        <v>51</v>
      </c>
      <c r="AN10" s="5">
        <f t="shared" si="8"/>
        <v>49</v>
      </c>
      <c r="AO10" s="5">
        <f>AO4+46</f>
        <v>47</v>
      </c>
      <c r="AP10" s="4">
        <f t="shared" ref="AP10:AP11" si="9">AP4+46</f>
        <v>77</v>
      </c>
      <c r="AQ10" s="6">
        <f t="shared" ref="AQ10:AU10" si="10">AQ4+46</f>
        <v>78</v>
      </c>
      <c r="AR10" s="5">
        <f t="shared" si="10"/>
        <v>48</v>
      </c>
      <c r="AS10" s="5">
        <f t="shared" si="10"/>
        <v>50</v>
      </c>
      <c r="AT10" s="5">
        <f t="shared" si="10"/>
        <v>52</v>
      </c>
      <c r="AU10" s="6">
        <f t="shared" si="10"/>
        <v>54</v>
      </c>
      <c r="AY10" s="36">
        <v>10</v>
      </c>
      <c r="AZ10" s="36" t="s">
        <v>103</v>
      </c>
      <c r="BB10" s="36">
        <v>56</v>
      </c>
      <c r="BC10" s="36" t="s">
        <v>143</v>
      </c>
    </row>
    <row r="11" spans="1:55" x14ac:dyDescent="0.25">
      <c r="A11" s="56" t="s">
        <v>10</v>
      </c>
      <c r="B11">
        <v>5517</v>
      </c>
      <c r="C11" s="36" t="s">
        <v>106</v>
      </c>
      <c r="D11" s="66" t="s">
        <v>123</v>
      </c>
      <c r="F11" s="36">
        <f>COUNTIF(F12:S15,"")-9</f>
        <v>0</v>
      </c>
      <c r="G11" s="36">
        <f>47-F11+1</f>
        <v>48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AL11" s="7">
        <f t="shared" ref="AL11:AO11" si="11">AL5+46</f>
        <v>67</v>
      </c>
      <c r="AM11" s="8">
        <f t="shared" si="11"/>
        <v>65</v>
      </c>
      <c r="AN11" s="8">
        <f t="shared" si="11"/>
        <v>63</v>
      </c>
      <c r="AO11" s="8">
        <f t="shared" si="11"/>
        <v>61</v>
      </c>
      <c r="AP11" s="7">
        <f t="shared" si="9"/>
        <v>89</v>
      </c>
      <c r="AQ11" s="9">
        <f t="shared" ref="AQ11:AU11" si="12">AQ5+46</f>
        <v>90</v>
      </c>
      <c r="AR11" s="8">
        <f t="shared" si="12"/>
        <v>62</v>
      </c>
      <c r="AS11" s="8">
        <f t="shared" si="12"/>
        <v>64</v>
      </c>
      <c r="AT11" s="8">
        <f t="shared" si="12"/>
        <v>66</v>
      </c>
      <c r="AU11" s="9">
        <f t="shared" si="12"/>
        <v>68</v>
      </c>
      <c r="AY11" s="36">
        <v>11</v>
      </c>
      <c r="AZ11" s="36" t="s">
        <v>104</v>
      </c>
      <c r="BB11" s="36">
        <v>57</v>
      </c>
      <c r="BC11" s="36" t="s">
        <v>169</v>
      </c>
    </row>
    <row r="12" spans="1:55" x14ac:dyDescent="0.25">
      <c r="A12" s="56" t="s">
        <v>11</v>
      </c>
      <c r="B12">
        <v>5019</v>
      </c>
      <c r="C12" s="36" t="s">
        <v>107</v>
      </c>
      <c r="D12" s="66" t="s">
        <v>127</v>
      </c>
      <c r="F12" s="41">
        <v>47</v>
      </c>
      <c r="G12" s="42">
        <v>43</v>
      </c>
      <c r="H12" s="42">
        <v>40</v>
      </c>
      <c r="I12" s="42">
        <v>34</v>
      </c>
      <c r="J12" s="42">
        <v>30</v>
      </c>
      <c r="K12" s="43">
        <v>28</v>
      </c>
      <c r="L12" s="43">
        <v>38</v>
      </c>
      <c r="M12" s="42">
        <v>37</v>
      </c>
      <c r="N12" s="42">
        <v>27</v>
      </c>
      <c r="O12" s="42">
        <v>29</v>
      </c>
      <c r="P12" s="42">
        <v>33</v>
      </c>
      <c r="Q12" s="42">
        <v>39</v>
      </c>
      <c r="R12" s="43">
        <v>42</v>
      </c>
      <c r="S12" s="36"/>
      <c r="U12">
        <f>COUNTIF(U13:AH16,"")-9</f>
        <v>0</v>
      </c>
      <c r="V12">
        <f>47-U12+1</f>
        <v>48</v>
      </c>
      <c r="AY12" s="36">
        <v>12</v>
      </c>
      <c r="AZ12" s="36" t="s">
        <v>105</v>
      </c>
      <c r="BB12" s="36">
        <v>58</v>
      </c>
      <c r="BC12" s="36" t="s">
        <v>163</v>
      </c>
    </row>
    <row r="13" spans="1:55" ht="15.75" thickBot="1" x14ac:dyDescent="0.3">
      <c r="A13" s="28" t="s">
        <v>12</v>
      </c>
      <c r="B13">
        <v>4951</v>
      </c>
      <c r="C13" s="36" t="s">
        <v>108</v>
      </c>
      <c r="D13" s="66" t="s">
        <v>132</v>
      </c>
      <c r="F13" s="36"/>
      <c r="G13" s="44">
        <v>36</v>
      </c>
      <c r="H13" s="45">
        <v>15</v>
      </c>
      <c r="I13" s="45">
        <v>14</v>
      </c>
      <c r="J13" s="45">
        <v>12</v>
      </c>
      <c r="K13" s="46">
        <v>10</v>
      </c>
      <c r="L13" s="47">
        <v>26</v>
      </c>
      <c r="M13" s="45">
        <v>20</v>
      </c>
      <c r="N13" s="45">
        <v>9</v>
      </c>
      <c r="O13" s="45">
        <v>11</v>
      </c>
      <c r="P13" s="45">
        <v>13</v>
      </c>
      <c r="Q13" s="48">
        <v>35</v>
      </c>
      <c r="R13" s="49">
        <v>41</v>
      </c>
      <c r="S13" s="50">
        <v>46</v>
      </c>
      <c r="U13" s="12">
        <v>44</v>
      </c>
      <c r="V13" s="2">
        <v>41</v>
      </c>
      <c r="W13" s="2">
        <v>30</v>
      </c>
      <c r="X13" s="2">
        <v>28</v>
      </c>
      <c r="Y13" s="2">
        <v>26</v>
      </c>
      <c r="Z13" s="1">
        <v>39</v>
      </c>
      <c r="AA13" s="3">
        <v>42</v>
      </c>
      <c r="AB13" s="2">
        <v>45</v>
      </c>
      <c r="AC13" s="2">
        <v>31</v>
      </c>
      <c r="AD13" s="2">
        <v>27</v>
      </c>
      <c r="AE13" s="2">
        <v>29</v>
      </c>
      <c r="AF13" s="2">
        <v>36</v>
      </c>
      <c r="AG13" s="3">
        <v>43</v>
      </c>
      <c r="AY13" s="36">
        <v>13</v>
      </c>
      <c r="AZ13" s="36" t="s">
        <v>106</v>
      </c>
      <c r="BB13" s="36">
        <v>59</v>
      </c>
      <c r="BC13" s="36" t="s">
        <v>141</v>
      </c>
    </row>
    <row r="14" spans="1:55" ht="15.75" thickBot="1" x14ac:dyDescent="0.3">
      <c r="A14" s="28" t="s">
        <v>13</v>
      </c>
      <c r="B14">
        <v>4862</v>
      </c>
      <c r="C14" s="36" t="s">
        <v>110</v>
      </c>
      <c r="D14" s="66" t="s">
        <v>159</v>
      </c>
      <c r="F14" s="36"/>
      <c r="G14" s="44">
        <v>45</v>
      </c>
      <c r="H14" s="45">
        <v>8</v>
      </c>
      <c r="I14" s="45">
        <v>6</v>
      </c>
      <c r="J14" s="54">
        <v>4</v>
      </c>
      <c r="K14" s="46">
        <v>2</v>
      </c>
      <c r="L14" s="48">
        <v>23</v>
      </c>
      <c r="M14" s="54">
        <v>1</v>
      </c>
      <c r="N14" s="45">
        <v>3</v>
      </c>
      <c r="O14" s="48">
        <v>5</v>
      </c>
      <c r="P14" s="48">
        <v>7</v>
      </c>
      <c r="Q14" s="51">
        <v>44</v>
      </c>
      <c r="R14" s="36"/>
      <c r="S14" s="36"/>
      <c r="V14" s="4">
        <v>13</v>
      </c>
      <c r="W14" s="5">
        <v>11</v>
      </c>
      <c r="X14" s="5">
        <v>9</v>
      </c>
      <c r="Y14" s="5">
        <v>24</v>
      </c>
      <c r="Z14" s="4">
        <v>25</v>
      </c>
      <c r="AA14" s="33">
        <v>38</v>
      </c>
      <c r="AB14" s="5">
        <v>22</v>
      </c>
      <c r="AC14" s="5">
        <v>10</v>
      </c>
      <c r="AD14" s="5">
        <v>12</v>
      </c>
      <c r="AE14" s="5">
        <v>14</v>
      </c>
      <c r="AF14" s="11">
        <v>35</v>
      </c>
      <c r="AG14" s="8">
        <v>37</v>
      </c>
      <c r="AH14" s="13">
        <v>46</v>
      </c>
      <c r="AY14" s="36">
        <v>14</v>
      </c>
      <c r="AZ14" s="36" t="s">
        <v>107</v>
      </c>
      <c r="BB14" s="36">
        <v>60</v>
      </c>
      <c r="BC14" s="36" t="s">
        <v>130</v>
      </c>
    </row>
    <row r="15" spans="1:55" x14ac:dyDescent="0.25">
      <c r="A15" s="28" t="s">
        <v>14</v>
      </c>
      <c r="B15">
        <v>4768</v>
      </c>
      <c r="C15" s="36" t="s">
        <v>111</v>
      </c>
      <c r="D15" s="66" t="s">
        <v>160</v>
      </c>
      <c r="F15" s="36"/>
      <c r="G15" s="52">
        <v>32</v>
      </c>
      <c r="H15" s="49">
        <v>22</v>
      </c>
      <c r="I15" s="49">
        <v>19</v>
      </c>
      <c r="J15" s="49">
        <v>17</v>
      </c>
      <c r="K15" s="51">
        <v>25</v>
      </c>
      <c r="L15" s="51">
        <v>24</v>
      </c>
      <c r="M15" s="49">
        <v>16</v>
      </c>
      <c r="N15" s="49">
        <v>18</v>
      </c>
      <c r="O15" s="49">
        <v>21</v>
      </c>
      <c r="P15" s="51">
        <v>31</v>
      </c>
      <c r="Q15" s="36"/>
      <c r="R15" s="36"/>
      <c r="S15" s="36"/>
      <c r="V15" s="4">
        <v>7</v>
      </c>
      <c r="W15" s="5">
        <v>5</v>
      </c>
      <c r="X15" s="5">
        <v>3</v>
      </c>
      <c r="Y15" s="5">
        <v>1</v>
      </c>
      <c r="Z15" s="4">
        <v>23</v>
      </c>
      <c r="AA15" s="6">
        <v>21</v>
      </c>
      <c r="AB15" s="5">
        <v>2</v>
      </c>
      <c r="AC15" s="5">
        <v>4</v>
      </c>
      <c r="AD15" s="5">
        <v>6</v>
      </c>
      <c r="AE15" s="5">
        <v>8</v>
      </c>
      <c r="AF15" s="9">
        <v>40</v>
      </c>
      <c r="AY15" s="36">
        <v>15</v>
      </c>
      <c r="AZ15" s="36" t="s">
        <v>108</v>
      </c>
      <c r="BB15" s="36">
        <v>61</v>
      </c>
      <c r="BC15" s="36" t="s">
        <v>153</v>
      </c>
    </row>
    <row r="16" spans="1:55" x14ac:dyDescent="0.25">
      <c r="A16" s="56" t="s">
        <v>15</v>
      </c>
      <c r="B16">
        <v>4547</v>
      </c>
      <c r="C16" s="36" t="s">
        <v>115</v>
      </c>
      <c r="D16" s="66" t="s">
        <v>161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V16" s="7">
        <v>20</v>
      </c>
      <c r="W16" s="8">
        <v>18</v>
      </c>
      <c r="X16" s="8">
        <v>16</v>
      </c>
      <c r="Y16" s="8">
        <v>34</v>
      </c>
      <c r="Z16" s="7">
        <v>47</v>
      </c>
      <c r="AA16" s="9">
        <v>33</v>
      </c>
      <c r="AB16" s="8">
        <v>15</v>
      </c>
      <c r="AC16" s="8">
        <v>17</v>
      </c>
      <c r="AD16" s="8">
        <v>19</v>
      </c>
      <c r="AE16" s="9">
        <v>32</v>
      </c>
      <c r="AY16" s="36">
        <v>16</v>
      </c>
      <c r="AZ16" s="36" t="s">
        <v>109</v>
      </c>
      <c r="BB16" s="36">
        <v>62</v>
      </c>
      <c r="BC16" s="36" t="s">
        <v>172</v>
      </c>
    </row>
    <row r="17" spans="1:55" x14ac:dyDescent="0.25">
      <c r="A17" s="28" t="s">
        <v>16</v>
      </c>
      <c r="B17">
        <v>4190</v>
      </c>
      <c r="C17" s="36" t="s">
        <v>117</v>
      </c>
      <c r="D17" s="66" t="s">
        <v>165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AI17" s="14"/>
      <c r="AJ17" s="14"/>
      <c r="AK17" s="15" t="s">
        <v>132</v>
      </c>
      <c r="AL17" s="18" t="s">
        <v>127</v>
      </c>
      <c r="AM17" s="19" t="s">
        <v>118</v>
      </c>
      <c r="AN17" s="19" t="s">
        <v>116</v>
      </c>
      <c r="AO17" s="19" t="s">
        <v>122</v>
      </c>
      <c r="AP17" s="34" t="s">
        <v>155</v>
      </c>
      <c r="AQ17" s="25" t="s">
        <v>160</v>
      </c>
      <c r="AR17" s="19" t="s">
        <v>123</v>
      </c>
      <c r="AS17" s="19" t="s">
        <v>117</v>
      </c>
      <c r="AT17" s="19" t="s">
        <v>119</v>
      </c>
      <c r="AU17" s="19" t="s">
        <v>128</v>
      </c>
      <c r="AV17" s="25" t="s">
        <v>157</v>
      </c>
      <c r="AW17" s="14"/>
      <c r="AY17" s="36">
        <v>17</v>
      </c>
      <c r="AZ17" s="36" t="s">
        <v>110</v>
      </c>
      <c r="BB17" s="36">
        <v>63</v>
      </c>
      <c r="BC17" s="36" t="s">
        <v>154</v>
      </c>
    </row>
    <row r="18" spans="1:55" x14ac:dyDescent="0.25">
      <c r="A18" s="28" t="s">
        <v>17</v>
      </c>
      <c r="B18">
        <v>4056</v>
      </c>
      <c r="C18" s="36" t="s">
        <v>120</v>
      </c>
      <c r="D18" s="66" t="s">
        <v>166</v>
      </c>
      <c r="F18" s="36">
        <f>COUNTIF(F19:S22,"")-9</f>
        <v>0</v>
      </c>
      <c r="G18" s="36">
        <f>47-F18+1</f>
        <v>48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AI18" s="55"/>
      <c r="AJ18" s="30" t="s">
        <v>164</v>
      </c>
      <c r="AK18" s="16">
        <v>1</v>
      </c>
      <c r="AL18" s="17" t="s">
        <v>106</v>
      </c>
      <c r="AM18" s="17" t="s">
        <v>104</v>
      </c>
      <c r="AN18" s="17" t="s">
        <v>102</v>
      </c>
      <c r="AO18" s="17" t="s">
        <v>120</v>
      </c>
      <c r="AP18" s="22" t="s">
        <v>126</v>
      </c>
      <c r="AQ18" s="20">
        <v>0</v>
      </c>
      <c r="AR18" s="17" t="s">
        <v>121</v>
      </c>
      <c r="AS18" s="17" t="s">
        <v>103</v>
      </c>
      <c r="AT18" s="26" t="s">
        <v>105</v>
      </c>
      <c r="AU18" s="17" t="s">
        <v>107</v>
      </c>
      <c r="AV18" s="16" t="s">
        <v>129</v>
      </c>
      <c r="AW18" s="32" t="s">
        <v>162</v>
      </c>
      <c r="AY18" s="36">
        <v>18</v>
      </c>
      <c r="AZ18" s="36" t="s">
        <v>111</v>
      </c>
      <c r="BB18" s="36">
        <v>64</v>
      </c>
      <c r="BC18" s="36" t="s">
        <v>151</v>
      </c>
    </row>
    <row r="19" spans="1:55" x14ac:dyDescent="0.25">
      <c r="A19" s="56" t="s">
        <v>18</v>
      </c>
      <c r="B19">
        <v>3399</v>
      </c>
      <c r="C19" s="36" t="s">
        <v>121</v>
      </c>
      <c r="D19" s="67" t="s">
        <v>162</v>
      </c>
      <c r="F19" s="41">
        <f>F12+47</f>
        <v>94</v>
      </c>
      <c r="G19" s="42">
        <f t="shared" ref="G19:R19" si="13">G12+47</f>
        <v>90</v>
      </c>
      <c r="H19" s="42">
        <f t="shared" si="13"/>
        <v>87</v>
      </c>
      <c r="I19" s="42">
        <f t="shared" si="13"/>
        <v>81</v>
      </c>
      <c r="J19" s="42">
        <f t="shared" si="13"/>
        <v>77</v>
      </c>
      <c r="K19" s="53">
        <f t="shared" si="13"/>
        <v>75</v>
      </c>
      <c r="L19" s="43">
        <f t="shared" si="13"/>
        <v>85</v>
      </c>
      <c r="M19" s="42">
        <f t="shared" si="13"/>
        <v>84</v>
      </c>
      <c r="N19" s="42">
        <f t="shared" si="13"/>
        <v>74</v>
      </c>
      <c r="O19" s="42">
        <f t="shared" si="13"/>
        <v>76</v>
      </c>
      <c r="P19" s="42">
        <f t="shared" si="13"/>
        <v>80</v>
      </c>
      <c r="Q19" s="42">
        <f t="shared" si="13"/>
        <v>86</v>
      </c>
      <c r="R19" s="43">
        <f t="shared" si="13"/>
        <v>89</v>
      </c>
      <c r="S19" s="36"/>
      <c r="U19">
        <f>COUNTIF(U20:AH23,"")-9</f>
        <v>0</v>
      </c>
      <c r="V19">
        <f>47-U19+1</f>
        <v>48</v>
      </c>
      <c r="AI19" s="14"/>
      <c r="AJ19" s="14"/>
      <c r="AK19" s="14"/>
      <c r="AL19" s="22" t="s">
        <v>100</v>
      </c>
      <c r="AM19" s="17" t="s">
        <v>98</v>
      </c>
      <c r="AN19" s="17" t="s">
        <v>96</v>
      </c>
      <c r="AO19" s="17" t="s">
        <v>94</v>
      </c>
      <c r="AP19" s="22" t="s">
        <v>124</v>
      </c>
      <c r="AQ19" s="20" t="s">
        <v>125</v>
      </c>
      <c r="AR19" s="17" t="s">
        <v>95</v>
      </c>
      <c r="AS19" s="17" t="s">
        <v>97</v>
      </c>
      <c r="AT19" s="17" t="s">
        <v>99</v>
      </c>
      <c r="AU19" s="20" t="s">
        <v>101</v>
      </c>
      <c r="AV19" s="14"/>
      <c r="AW19" s="14"/>
      <c r="AY19" s="36">
        <v>19</v>
      </c>
      <c r="AZ19" s="36" t="s">
        <v>112</v>
      </c>
      <c r="BB19" s="36">
        <v>65</v>
      </c>
      <c r="BC19" s="36" t="s">
        <v>166</v>
      </c>
    </row>
    <row r="20" spans="1:55" x14ac:dyDescent="0.25">
      <c r="A20" s="56" t="s">
        <v>19</v>
      </c>
      <c r="B20">
        <v>3197</v>
      </c>
      <c r="C20" s="36" t="s">
        <v>124</v>
      </c>
      <c r="D20" s="66" t="s">
        <v>173</v>
      </c>
      <c r="F20" s="36"/>
      <c r="G20" s="44">
        <f t="shared" ref="G20:R20" si="14">G13+47</f>
        <v>83</v>
      </c>
      <c r="H20" s="45">
        <f t="shared" si="14"/>
        <v>62</v>
      </c>
      <c r="I20" s="45">
        <f t="shared" si="14"/>
        <v>61</v>
      </c>
      <c r="J20" s="45">
        <f t="shared" si="14"/>
        <v>59</v>
      </c>
      <c r="K20" s="44">
        <f t="shared" si="14"/>
        <v>57</v>
      </c>
      <c r="L20" s="47">
        <f t="shared" si="14"/>
        <v>73</v>
      </c>
      <c r="M20" s="45">
        <f t="shared" si="14"/>
        <v>67</v>
      </c>
      <c r="N20" s="45">
        <f t="shared" si="14"/>
        <v>56</v>
      </c>
      <c r="O20" s="45">
        <f t="shared" si="14"/>
        <v>58</v>
      </c>
      <c r="P20" s="45">
        <f t="shared" si="14"/>
        <v>60</v>
      </c>
      <c r="Q20" s="48">
        <f t="shared" si="14"/>
        <v>82</v>
      </c>
      <c r="R20" s="49">
        <f t="shared" si="14"/>
        <v>88</v>
      </c>
      <c r="S20" s="50">
        <f>S13+47</f>
        <v>93</v>
      </c>
      <c r="U20" s="12">
        <f>U13+46</f>
        <v>90</v>
      </c>
      <c r="V20" s="2">
        <f t="shared" ref="V20:AG20" si="15">V13+46</f>
        <v>87</v>
      </c>
      <c r="W20" s="2">
        <f t="shared" si="15"/>
        <v>76</v>
      </c>
      <c r="X20" s="2">
        <f t="shared" si="15"/>
        <v>74</v>
      </c>
      <c r="Y20" s="2">
        <f t="shared" si="15"/>
        <v>72</v>
      </c>
      <c r="Z20" s="1">
        <f t="shared" si="15"/>
        <v>85</v>
      </c>
      <c r="AA20" s="3">
        <f t="shared" si="15"/>
        <v>88</v>
      </c>
      <c r="AB20" s="2">
        <f t="shared" si="15"/>
        <v>91</v>
      </c>
      <c r="AC20" s="2">
        <f t="shared" si="15"/>
        <v>77</v>
      </c>
      <c r="AD20" s="2">
        <f t="shared" si="15"/>
        <v>73</v>
      </c>
      <c r="AE20" s="2">
        <f t="shared" si="15"/>
        <v>75</v>
      </c>
      <c r="AF20" s="2">
        <f t="shared" si="15"/>
        <v>82</v>
      </c>
      <c r="AG20" s="3">
        <f t="shared" si="15"/>
        <v>89</v>
      </c>
      <c r="AI20" s="14"/>
      <c r="AJ20" s="14"/>
      <c r="AK20" s="14"/>
      <c r="AL20" s="23" t="s">
        <v>114</v>
      </c>
      <c r="AM20" s="24" t="s">
        <v>112</v>
      </c>
      <c r="AN20" s="16" t="s">
        <v>110</v>
      </c>
      <c r="AO20" s="16" t="s">
        <v>108</v>
      </c>
      <c r="AP20" s="35" t="s">
        <v>159</v>
      </c>
      <c r="AQ20" s="27" t="s">
        <v>161</v>
      </c>
      <c r="AR20" s="16" t="s">
        <v>109</v>
      </c>
      <c r="AS20" s="16" t="s">
        <v>111</v>
      </c>
      <c r="AT20" s="16" t="s">
        <v>113</v>
      </c>
      <c r="AU20" s="27" t="s">
        <v>115</v>
      </c>
      <c r="AV20" s="14"/>
      <c r="AW20" s="14"/>
      <c r="AY20" s="36">
        <v>20</v>
      </c>
      <c r="AZ20" s="36" t="s">
        <v>113</v>
      </c>
      <c r="BB20" s="36">
        <v>66</v>
      </c>
      <c r="BC20" s="36" t="s">
        <v>173</v>
      </c>
    </row>
    <row r="21" spans="1:55" x14ac:dyDescent="0.25">
      <c r="A21" s="56" t="s">
        <v>20</v>
      </c>
      <c r="B21">
        <v>3191</v>
      </c>
      <c r="C21" s="36" t="s">
        <v>125</v>
      </c>
      <c r="D21" s="66" t="s">
        <v>163</v>
      </c>
      <c r="F21" s="36"/>
      <c r="G21" s="44">
        <f t="shared" ref="G21:L21" si="16">G14+47</f>
        <v>92</v>
      </c>
      <c r="H21" s="45">
        <f t="shared" si="16"/>
        <v>55</v>
      </c>
      <c r="I21" s="45">
        <f t="shared" si="16"/>
        <v>53</v>
      </c>
      <c r="J21" s="45">
        <f t="shared" si="16"/>
        <v>51</v>
      </c>
      <c r="K21" s="44">
        <f t="shared" si="16"/>
        <v>49</v>
      </c>
      <c r="L21" s="46">
        <f t="shared" si="16"/>
        <v>70</v>
      </c>
      <c r="M21" s="45">
        <f>M14+47</f>
        <v>48</v>
      </c>
      <c r="N21" s="45">
        <f t="shared" ref="N21:P21" si="17">N14+47</f>
        <v>50</v>
      </c>
      <c r="O21" s="45">
        <f t="shared" si="17"/>
        <v>52</v>
      </c>
      <c r="P21" s="45">
        <f t="shared" si="17"/>
        <v>54</v>
      </c>
      <c r="Q21" s="51">
        <f>Q14+47</f>
        <v>91</v>
      </c>
      <c r="R21" s="36"/>
      <c r="S21" s="36"/>
      <c r="V21" s="4">
        <f t="shared" ref="V21:AH21" si="18">V14+46</f>
        <v>59</v>
      </c>
      <c r="W21" s="5">
        <f t="shared" si="18"/>
        <v>57</v>
      </c>
      <c r="X21" s="5">
        <f t="shared" si="18"/>
        <v>55</v>
      </c>
      <c r="Y21" s="5">
        <f t="shared" si="18"/>
        <v>70</v>
      </c>
      <c r="Z21" s="4">
        <f t="shared" si="18"/>
        <v>71</v>
      </c>
      <c r="AA21" s="33">
        <f t="shared" si="18"/>
        <v>84</v>
      </c>
      <c r="AB21" s="5">
        <f t="shared" si="18"/>
        <v>68</v>
      </c>
      <c r="AC21" s="5">
        <f t="shared" si="18"/>
        <v>56</v>
      </c>
      <c r="AD21" s="5">
        <f t="shared" si="18"/>
        <v>58</v>
      </c>
      <c r="AE21" s="5">
        <f t="shared" si="18"/>
        <v>60</v>
      </c>
      <c r="AF21" s="11">
        <f t="shared" si="18"/>
        <v>81</v>
      </c>
      <c r="AG21" s="8">
        <f t="shared" si="18"/>
        <v>83</v>
      </c>
      <c r="AH21" s="13">
        <f t="shared" si="18"/>
        <v>92</v>
      </c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Y21" s="36">
        <v>21</v>
      </c>
      <c r="AZ21" s="36" t="s">
        <v>114</v>
      </c>
      <c r="BB21" s="36">
        <v>67</v>
      </c>
      <c r="BC21" s="36" t="s">
        <v>165</v>
      </c>
    </row>
    <row r="22" spans="1:55" x14ac:dyDescent="0.25">
      <c r="A22" s="29" t="s">
        <v>21</v>
      </c>
      <c r="B22">
        <v>2538</v>
      </c>
      <c r="C22" s="36" t="s">
        <v>126</v>
      </c>
      <c r="D22" s="66" t="s">
        <v>174</v>
      </c>
      <c r="F22" s="36"/>
      <c r="G22" s="52">
        <f t="shared" ref="G22:P22" si="19">G15+47</f>
        <v>79</v>
      </c>
      <c r="H22" s="49">
        <f t="shared" si="19"/>
        <v>69</v>
      </c>
      <c r="I22" s="49">
        <f t="shared" si="19"/>
        <v>66</v>
      </c>
      <c r="J22" s="49">
        <f t="shared" si="19"/>
        <v>64</v>
      </c>
      <c r="K22" s="52">
        <f t="shared" si="19"/>
        <v>72</v>
      </c>
      <c r="L22" s="51">
        <f t="shared" si="19"/>
        <v>71</v>
      </c>
      <c r="M22" s="49">
        <f t="shared" si="19"/>
        <v>63</v>
      </c>
      <c r="N22" s="49">
        <f t="shared" si="19"/>
        <v>65</v>
      </c>
      <c r="O22" s="49">
        <f t="shared" si="19"/>
        <v>68</v>
      </c>
      <c r="P22" s="51">
        <f t="shared" si="19"/>
        <v>78</v>
      </c>
      <c r="Q22" s="36"/>
      <c r="R22" s="36"/>
      <c r="S22" s="36"/>
      <c r="V22" s="4">
        <f t="shared" ref="V22:AF22" si="20">V15+46</f>
        <v>53</v>
      </c>
      <c r="W22" s="5">
        <f t="shared" si="20"/>
        <v>51</v>
      </c>
      <c r="X22" s="5">
        <f t="shared" si="20"/>
        <v>49</v>
      </c>
      <c r="Y22" s="5">
        <f t="shared" si="20"/>
        <v>47</v>
      </c>
      <c r="Z22" s="4">
        <f t="shared" si="20"/>
        <v>69</v>
      </c>
      <c r="AA22" s="6">
        <f t="shared" si="20"/>
        <v>67</v>
      </c>
      <c r="AB22" s="5">
        <f t="shared" si="20"/>
        <v>48</v>
      </c>
      <c r="AC22" s="5">
        <f t="shared" si="20"/>
        <v>50</v>
      </c>
      <c r="AD22" s="5">
        <f t="shared" si="20"/>
        <v>52</v>
      </c>
      <c r="AE22" s="5">
        <f t="shared" si="20"/>
        <v>54</v>
      </c>
      <c r="AF22" s="9">
        <f t="shared" si="20"/>
        <v>86</v>
      </c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Y22" s="36">
        <v>22</v>
      </c>
      <c r="AZ22" s="36" t="s">
        <v>115</v>
      </c>
      <c r="BB22" s="36">
        <v>68</v>
      </c>
      <c r="BC22" s="36" t="s">
        <v>152</v>
      </c>
    </row>
    <row r="23" spans="1:55" x14ac:dyDescent="0.25">
      <c r="A23" s="56" t="s">
        <v>22</v>
      </c>
      <c r="B23">
        <v>2180</v>
      </c>
      <c r="C23" s="36" t="s">
        <v>128</v>
      </c>
      <c r="D23" s="66" t="s">
        <v>172</v>
      </c>
      <c r="V23" s="7">
        <f t="shared" ref="V23:AE23" si="21">V16+46</f>
        <v>66</v>
      </c>
      <c r="W23" s="8">
        <f t="shared" si="21"/>
        <v>64</v>
      </c>
      <c r="X23" s="8">
        <f t="shared" si="21"/>
        <v>62</v>
      </c>
      <c r="Y23" s="8">
        <f t="shared" si="21"/>
        <v>80</v>
      </c>
      <c r="Z23" s="7">
        <f t="shared" si="21"/>
        <v>93</v>
      </c>
      <c r="AA23" s="9">
        <f t="shared" si="21"/>
        <v>79</v>
      </c>
      <c r="AB23" s="8">
        <f t="shared" si="21"/>
        <v>61</v>
      </c>
      <c r="AC23" s="8">
        <f t="shared" si="21"/>
        <v>63</v>
      </c>
      <c r="AD23" s="8">
        <f t="shared" si="21"/>
        <v>65</v>
      </c>
      <c r="AE23" s="9">
        <f t="shared" si="21"/>
        <v>78</v>
      </c>
      <c r="AI23" s="14"/>
      <c r="AJ23" s="14"/>
      <c r="AK23" s="15" t="s">
        <v>170</v>
      </c>
      <c r="AL23" s="19">
        <v>5</v>
      </c>
      <c r="AM23" s="19">
        <v>4</v>
      </c>
      <c r="AN23" s="19">
        <v>3</v>
      </c>
      <c r="AO23" s="19">
        <v>2</v>
      </c>
      <c r="AP23" s="15" t="s">
        <v>156</v>
      </c>
      <c r="AQ23" s="25">
        <v>6</v>
      </c>
      <c r="AR23" s="19">
        <v>7</v>
      </c>
      <c r="AS23" s="19" t="s">
        <v>145</v>
      </c>
      <c r="AT23" s="19">
        <v>8</v>
      </c>
      <c r="AU23" s="19" t="s">
        <v>149</v>
      </c>
      <c r="AV23" s="25" t="s">
        <v>158</v>
      </c>
      <c r="AW23" s="14"/>
      <c r="AY23" s="36">
        <v>23</v>
      </c>
      <c r="AZ23" s="36" t="s">
        <v>116</v>
      </c>
      <c r="BB23" s="36">
        <v>69</v>
      </c>
      <c r="BC23" s="36">
        <v>3</v>
      </c>
    </row>
    <row r="24" spans="1:55" x14ac:dyDescent="0.25">
      <c r="A24" s="28" t="s">
        <v>23</v>
      </c>
      <c r="B24">
        <v>2157</v>
      </c>
      <c r="C24" s="36" t="s">
        <v>129</v>
      </c>
      <c r="D24" s="66" t="s">
        <v>164</v>
      </c>
      <c r="V24" s="10"/>
      <c r="W24" s="5"/>
      <c r="X24" s="5"/>
      <c r="Y24" s="5"/>
      <c r="Z24" s="5"/>
      <c r="AA24" s="5"/>
      <c r="AB24" s="5"/>
      <c r="AC24" s="5"/>
      <c r="AD24" s="10"/>
      <c r="AE24" s="5"/>
      <c r="AI24" s="55"/>
      <c r="AJ24" s="30" t="s">
        <v>174</v>
      </c>
      <c r="AK24" s="16" t="s">
        <v>175</v>
      </c>
      <c r="AL24" s="17" t="s">
        <v>141</v>
      </c>
      <c r="AM24" s="17" t="s">
        <v>169</v>
      </c>
      <c r="AN24" s="17" t="s">
        <v>139</v>
      </c>
      <c r="AO24" s="17" t="s">
        <v>138</v>
      </c>
      <c r="AP24" s="22" t="s">
        <v>137</v>
      </c>
      <c r="AQ24" s="20">
        <v>9</v>
      </c>
      <c r="AR24" s="17" t="s">
        <v>142</v>
      </c>
      <c r="AS24" s="17" t="s">
        <v>143</v>
      </c>
      <c r="AT24" s="17" t="s">
        <v>163</v>
      </c>
      <c r="AU24" s="17" t="s">
        <v>130</v>
      </c>
      <c r="AV24" s="16" t="s">
        <v>144</v>
      </c>
      <c r="AW24" s="31" t="s">
        <v>167</v>
      </c>
      <c r="AY24" s="36">
        <v>24</v>
      </c>
      <c r="AZ24" s="36" t="s">
        <v>117</v>
      </c>
      <c r="BB24" s="36">
        <v>70</v>
      </c>
      <c r="BC24" s="36" t="s">
        <v>145</v>
      </c>
    </row>
    <row r="25" spans="1:55" x14ac:dyDescent="0.25">
      <c r="A25" s="56" t="s">
        <v>24</v>
      </c>
      <c r="B25">
        <v>2071</v>
      </c>
      <c r="C25" s="36" t="s">
        <v>157</v>
      </c>
      <c r="D25" s="66" t="s">
        <v>175</v>
      </c>
      <c r="V25" t="s">
        <v>170</v>
      </c>
      <c r="X25">
        <v>0</v>
      </c>
      <c r="Y25">
        <v>1</v>
      </c>
      <c r="Z25">
        <v>2</v>
      </c>
      <c r="AA25">
        <v>3</v>
      </c>
      <c r="AB25">
        <v>4</v>
      </c>
      <c r="AC25">
        <v>5</v>
      </c>
      <c r="AD25">
        <v>6</v>
      </c>
      <c r="AE25">
        <v>7</v>
      </c>
      <c r="AF25">
        <v>8</v>
      </c>
      <c r="AG25">
        <v>9</v>
      </c>
      <c r="AI25" s="14"/>
      <c r="AJ25" s="14"/>
      <c r="AK25" s="14"/>
      <c r="AL25" s="22" t="s">
        <v>131</v>
      </c>
      <c r="AM25" s="17" t="s">
        <v>140</v>
      </c>
      <c r="AN25" s="17" t="s">
        <v>134</v>
      </c>
      <c r="AO25" s="17" t="s">
        <v>135</v>
      </c>
      <c r="AP25" s="22" t="s">
        <v>136</v>
      </c>
      <c r="AQ25" s="20" t="s">
        <v>150</v>
      </c>
      <c r="AR25" s="17" t="s">
        <v>146</v>
      </c>
      <c r="AS25" s="17" t="s">
        <v>147</v>
      </c>
      <c r="AT25" s="17" t="s">
        <v>133</v>
      </c>
      <c r="AU25" s="20" t="s">
        <v>148</v>
      </c>
      <c r="AV25" s="14"/>
      <c r="AW25" s="14"/>
      <c r="AY25" s="36">
        <v>25</v>
      </c>
      <c r="AZ25" s="36" t="s">
        <v>118</v>
      </c>
      <c r="BB25" s="36">
        <v>71</v>
      </c>
      <c r="BC25" s="36">
        <v>4</v>
      </c>
    </row>
    <row r="26" spans="1:55" x14ac:dyDescent="0.25">
      <c r="A26" s="56" t="s">
        <v>25</v>
      </c>
      <c r="B26">
        <v>2035</v>
      </c>
      <c r="C26" s="36" t="s">
        <v>155</v>
      </c>
      <c r="D26" s="66" t="s">
        <v>171</v>
      </c>
      <c r="AA26" t="s">
        <v>132</v>
      </c>
      <c r="AG26" s="40" t="s">
        <v>127</v>
      </c>
      <c r="AI26" s="14"/>
      <c r="AJ26" s="14"/>
      <c r="AK26" s="14"/>
      <c r="AL26" s="23" t="s">
        <v>165</v>
      </c>
      <c r="AM26" s="16" t="s">
        <v>166</v>
      </c>
      <c r="AN26" s="16" t="s">
        <v>154</v>
      </c>
      <c r="AO26" s="16" t="s">
        <v>153</v>
      </c>
      <c r="AP26" s="23" t="s">
        <v>168</v>
      </c>
      <c r="AQ26" s="27" t="s">
        <v>171</v>
      </c>
      <c r="AR26" s="16" t="s">
        <v>172</v>
      </c>
      <c r="AS26" s="16" t="s">
        <v>151</v>
      </c>
      <c r="AT26" s="16" t="s">
        <v>173</v>
      </c>
      <c r="AU26" s="27" t="s">
        <v>152</v>
      </c>
      <c r="AV26" s="14"/>
      <c r="AW26" s="14"/>
      <c r="AY26" s="36">
        <v>26</v>
      </c>
      <c r="AZ26" s="36" t="s">
        <v>119</v>
      </c>
      <c r="BB26" s="36">
        <v>72</v>
      </c>
      <c r="BC26" s="36">
        <v>8</v>
      </c>
    </row>
    <row r="27" spans="1:55" x14ac:dyDescent="0.25">
      <c r="A27" s="28" t="s">
        <v>26</v>
      </c>
      <c r="B27">
        <v>1539</v>
      </c>
      <c r="D27" s="66" t="s">
        <v>167</v>
      </c>
      <c r="AY27" s="36">
        <v>27</v>
      </c>
      <c r="AZ27" s="36" t="s">
        <v>120</v>
      </c>
      <c r="BB27" s="36">
        <v>73</v>
      </c>
      <c r="BC27" s="36" t="s">
        <v>138</v>
      </c>
    </row>
    <row r="28" spans="1:55" x14ac:dyDescent="0.25">
      <c r="A28" s="28" t="s">
        <v>27</v>
      </c>
      <c r="B28">
        <v>1365</v>
      </c>
      <c r="D28" s="66" t="s">
        <v>168</v>
      </c>
      <c r="T28" s="36"/>
      <c r="AY28" s="36">
        <v>28</v>
      </c>
      <c r="AZ28" s="36" t="s">
        <v>121</v>
      </c>
      <c r="BB28" s="36">
        <v>74</v>
      </c>
      <c r="BC28" s="36" t="s">
        <v>142</v>
      </c>
    </row>
    <row r="29" spans="1:55" x14ac:dyDescent="0.25">
      <c r="A29" s="56" t="s">
        <v>28</v>
      </c>
      <c r="B29">
        <v>1267</v>
      </c>
      <c r="D29" s="66" t="s">
        <v>170</v>
      </c>
      <c r="T29" s="36"/>
      <c r="AY29" s="36">
        <v>29</v>
      </c>
      <c r="AZ29" s="36" t="s">
        <v>122</v>
      </c>
      <c r="BB29" s="36">
        <v>75</v>
      </c>
      <c r="BC29" s="36">
        <v>2</v>
      </c>
    </row>
    <row r="30" spans="1:55" x14ac:dyDescent="0.25">
      <c r="A30" s="56" t="s">
        <v>29</v>
      </c>
      <c r="B30">
        <v>1267</v>
      </c>
      <c r="D30" s="66" t="s">
        <v>169</v>
      </c>
      <c r="T30" s="45"/>
      <c r="AI30" s="5"/>
      <c r="AY30" s="36">
        <v>30</v>
      </c>
      <c r="AZ30" s="36" t="s">
        <v>123</v>
      </c>
      <c r="BB30" s="36">
        <v>76</v>
      </c>
      <c r="BC30" s="36">
        <v>7</v>
      </c>
    </row>
    <row r="31" spans="1:55" x14ac:dyDescent="0.25">
      <c r="A31" s="28" t="s">
        <v>30</v>
      </c>
      <c r="B31">
        <v>1140</v>
      </c>
      <c r="D31" s="66" t="s">
        <v>176</v>
      </c>
      <c r="T31" s="36"/>
      <c r="AY31" s="36">
        <v>31</v>
      </c>
      <c r="AZ31" s="36" t="s">
        <v>124</v>
      </c>
      <c r="BB31" s="36">
        <v>77</v>
      </c>
      <c r="BC31" s="36" t="s">
        <v>136</v>
      </c>
    </row>
    <row r="32" spans="1:55" x14ac:dyDescent="0.25">
      <c r="A32" s="28" t="s">
        <v>31</v>
      </c>
      <c r="B32">
        <v>905</v>
      </c>
      <c r="D32" s="66" t="s">
        <v>177</v>
      </c>
      <c r="T32" s="36"/>
      <c r="AY32" s="36">
        <v>32</v>
      </c>
      <c r="AZ32" s="36" t="s">
        <v>125</v>
      </c>
      <c r="BB32" s="36">
        <v>78</v>
      </c>
      <c r="BC32" s="36" t="s">
        <v>150</v>
      </c>
    </row>
    <row r="33" spans="1:55" x14ac:dyDescent="0.25">
      <c r="A33" s="28" t="s">
        <v>32</v>
      </c>
      <c r="B33">
        <v>849</v>
      </c>
      <c r="D33" s="75">
        <v>1</v>
      </c>
      <c r="T33" s="36"/>
      <c r="AY33" s="36">
        <v>33</v>
      </c>
      <c r="AZ33" s="36" t="s">
        <v>126</v>
      </c>
      <c r="BB33" s="36">
        <v>79</v>
      </c>
      <c r="BC33" s="36" t="s">
        <v>137</v>
      </c>
    </row>
    <row r="34" spans="1:55" x14ac:dyDescent="0.25">
      <c r="A34" s="56" t="s">
        <v>34</v>
      </c>
      <c r="B34">
        <v>620</v>
      </c>
      <c r="D34" s="75">
        <v>2</v>
      </c>
      <c r="T34" s="36"/>
      <c r="AY34" s="36">
        <v>34</v>
      </c>
      <c r="AZ34" s="36">
        <v>0</v>
      </c>
      <c r="BB34" s="36">
        <v>80</v>
      </c>
      <c r="BC34" s="36">
        <v>9</v>
      </c>
    </row>
    <row r="35" spans="1:55" x14ac:dyDescent="0.25">
      <c r="A35" s="28" t="s">
        <v>35</v>
      </c>
      <c r="B35">
        <v>571</v>
      </c>
      <c r="D35" s="75">
        <v>3</v>
      </c>
      <c r="T35" s="36"/>
      <c r="AY35" s="36">
        <v>35</v>
      </c>
      <c r="AZ35" s="36" t="s">
        <v>127</v>
      </c>
      <c r="BB35" s="36">
        <v>81</v>
      </c>
      <c r="BC35" s="36">
        <v>5</v>
      </c>
    </row>
    <row r="36" spans="1:55" x14ac:dyDescent="0.25">
      <c r="A36" s="28" t="s">
        <v>37</v>
      </c>
      <c r="B36">
        <v>497</v>
      </c>
      <c r="D36" s="75">
        <v>4</v>
      </c>
      <c r="T36" s="36"/>
      <c r="AY36" s="36">
        <v>36</v>
      </c>
      <c r="AZ36" s="36" t="s">
        <v>128</v>
      </c>
      <c r="BB36" s="36">
        <v>82</v>
      </c>
      <c r="BC36" s="36" t="s">
        <v>149</v>
      </c>
    </row>
    <row r="37" spans="1:55" x14ac:dyDescent="0.25">
      <c r="A37" s="56" t="s">
        <v>40</v>
      </c>
      <c r="B37">
        <v>409</v>
      </c>
      <c r="D37" s="75">
        <v>5</v>
      </c>
      <c r="T37" s="45"/>
      <c r="AI37" s="5"/>
      <c r="AY37" s="36">
        <v>37</v>
      </c>
      <c r="AZ37" s="36">
        <v>1</v>
      </c>
      <c r="BB37" s="36">
        <v>83</v>
      </c>
      <c r="BC37" s="36" t="s">
        <v>175</v>
      </c>
    </row>
    <row r="38" spans="1:55" x14ac:dyDescent="0.25">
      <c r="A38" s="56" t="s">
        <v>45</v>
      </c>
      <c r="B38">
        <v>331</v>
      </c>
      <c r="D38" s="75">
        <v>6</v>
      </c>
      <c r="T38" s="36"/>
      <c r="AY38" s="36">
        <v>38</v>
      </c>
      <c r="AZ38" s="36" t="s">
        <v>129</v>
      </c>
      <c r="BB38" s="36">
        <v>84</v>
      </c>
      <c r="BC38" s="36" t="s">
        <v>144</v>
      </c>
    </row>
    <row r="39" spans="1:55" x14ac:dyDescent="0.25">
      <c r="A39" s="28" t="s">
        <v>46</v>
      </c>
      <c r="B39">
        <v>325</v>
      </c>
      <c r="D39" s="75">
        <v>7</v>
      </c>
      <c r="T39" s="36"/>
      <c r="AY39" s="36">
        <v>39</v>
      </c>
      <c r="AZ39" s="36" t="s">
        <v>164</v>
      </c>
      <c r="BB39" s="36">
        <v>85</v>
      </c>
      <c r="BC39" s="36" t="s">
        <v>174</v>
      </c>
    </row>
    <row r="40" spans="1:55" x14ac:dyDescent="0.25">
      <c r="A40" s="56" t="s">
        <v>47</v>
      </c>
      <c r="B40">
        <v>305</v>
      </c>
      <c r="D40" s="75">
        <v>8</v>
      </c>
      <c r="AY40" s="36">
        <v>40</v>
      </c>
      <c r="AZ40" s="36" t="s">
        <v>162</v>
      </c>
      <c r="BB40" s="36">
        <v>86</v>
      </c>
      <c r="BC40" s="36" t="s">
        <v>167</v>
      </c>
    </row>
    <row r="41" spans="1:55" x14ac:dyDescent="0.25">
      <c r="A41" s="56" t="s">
        <v>48</v>
      </c>
      <c r="B41">
        <v>277</v>
      </c>
      <c r="D41" s="75">
        <v>9</v>
      </c>
      <c r="T41" s="36"/>
      <c r="AY41" s="36">
        <v>41</v>
      </c>
      <c r="AZ41" s="36" t="s">
        <v>132</v>
      </c>
      <c r="BB41" s="36">
        <v>87</v>
      </c>
      <c r="BC41" s="36" t="s">
        <v>170</v>
      </c>
    </row>
    <row r="42" spans="1:55" x14ac:dyDescent="0.25">
      <c r="A42" s="56" t="s">
        <v>52</v>
      </c>
      <c r="B42">
        <v>221</v>
      </c>
      <c r="D42" s="75">
        <v>0</v>
      </c>
      <c r="T42" s="36"/>
      <c r="AY42" s="36">
        <v>42</v>
      </c>
      <c r="AZ42" s="36" t="s">
        <v>157</v>
      </c>
      <c r="BB42" s="36">
        <v>88</v>
      </c>
      <c r="BC42" s="36" t="s">
        <v>158</v>
      </c>
    </row>
    <row r="43" spans="1:55" x14ac:dyDescent="0.25">
      <c r="A43" s="56" t="s">
        <v>53</v>
      </c>
      <c r="B43">
        <v>221</v>
      </c>
      <c r="T43" s="45"/>
      <c r="AY43" s="36">
        <v>43</v>
      </c>
      <c r="AZ43" s="36" t="s">
        <v>159</v>
      </c>
      <c r="BB43" s="36">
        <v>89</v>
      </c>
      <c r="BC43" s="36" t="s">
        <v>168</v>
      </c>
    </row>
    <row r="44" spans="1:55" x14ac:dyDescent="0.25">
      <c r="A44" s="56" t="s">
        <v>56</v>
      </c>
      <c r="B44">
        <v>212</v>
      </c>
      <c r="T44" s="36"/>
      <c r="AY44" s="36">
        <v>44</v>
      </c>
      <c r="AZ44" s="36" t="s">
        <v>161</v>
      </c>
      <c r="BB44" s="36">
        <v>90</v>
      </c>
      <c r="BC44" s="36" t="s">
        <v>171</v>
      </c>
    </row>
    <row r="45" spans="1:55" x14ac:dyDescent="0.25">
      <c r="A45" s="28" t="s">
        <v>63</v>
      </c>
      <c r="B45">
        <v>134</v>
      </c>
      <c r="T45" s="36"/>
      <c r="AY45" s="36">
        <v>45</v>
      </c>
      <c r="AZ45" s="36" t="s">
        <v>155</v>
      </c>
      <c r="BB45" s="36">
        <v>91</v>
      </c>
      <c r="BC45" s="36" t="s">
        <v>156</v>
      </c>
    </row>
    <row r="46" spans="1:55" x14ac:dyDescent="0.25">
      <c r="A46" s="28" t="s">
        <v>64</v>
      </c>
      <c r="B46">
        <v>122</v>
      </c>
      <c r="T46" s="36"/>
      <c r="AY46" s="36">
        <v>46</v>
      </c>
      <c r="AZ46" s="36" t="s">
        <v>160</v>
      </c>
      <c r="BB46" s="36">
        <v>92</v>
      </c>
      <c r="BC46" s="36">
        <v>6</v>
      </c>
    </row>
    <row r="47" spans="1:55" x14ac:dyDescent="0.25">
      <c r="A47" s="28" t="s">
        <v>72</v>
      </c>
      <c r="B47">
        <v>89</v>
      </c>
      <c r="T47" s="36"/>
    </row>
    <row r="48" spans="1:55" x14ac:dyDescent="0.25">
      <c r="A48" s="28" t="s">
        <v>75</v>
      </c>
      <c r="B48">
        <v>68</v>
      </c>
      <c r="T48" s="36"/>
    </row>
    <row r="49" spans="1:20" x14ac:dyDescent="0.25">
      <c r="A49" s="28" t="s">
        <v>76</v>
      </c>
      <c r="B49">
        <v>61</v>
      </c>
      <c r="T49" s="36"/>
    </row>
    <row r="50" spans="1:20" x14ac:dyDescent="0.25">
      <c r="A50" s="28" t="s">
        <v>78</v>
      </c>
      <c r="B50">
        <v>54</v>
      </c>
      <c r="T50" s="45"/>
    </row>
    <row r="51" spans="1:20" x14ac:dyDescent="0.25">
      <c r="A51" s="28" t="s">
        <v>80</v>
      </c>
      <c r="B51">
        <v>41</v>
      </c>
      <c r="T51" s="36"/>
    </row>
    <row r="52" spans="1:20" x14ac:dyDescent="0.25">
      <c r="A52" s="28" t="s">
        <v>86</v>
      </c>
      <c r="B52">
        <v>9</v>
      </c>
      <c r="T52" s="36"/>
    </row>
    <row r="53" spans="1:20" x14ac:dyDescent="0.25">
      <c r="A53" s="28" t="s">
        <v>87</v>
      </c>
      <c r="B53">
        <v>5</v>
      </c>
    </row>
    <row r="54" spans="1:20" x14ac:dyDescent="0.25">
      <c r="A54" s="28" t="s">
        <v>89</v>
      </c>
      <c r="B54">
        <v>3</v>
      </c>
    </row>
    <row r="55" spans="1:20" x14ac:dyDescent="0.25">
      <c r="A55" s="28" t="s">
        <v>90</v>
      </c>
      <c r="B55">
        <v>2</v>
      </c>
    </row>
    <row r="56" spans="1:20" x14ac:dyDescent="0.25">
      <c r="A56" s="28" t="s">
        <v>91</v>
      </c>
      <c r="B56">
        <v>2</v>
      </c>
    </row>
    <row r="58" spans="1:20" x14ac:dyDescent="0.25">
      <c r="A58" s="28" t="s">
        <v>33</v>
      </c>
      <c r="B58">
        <v>624</v>
      </c>
    </row>
    <row r="59" spans="1:20" x14ac:dyDescent="0.25">
      <c r="A59" s="28" t="s">
        <v>36</v>
      </c>
      <c r="B59">
        <v>504</v>
      </c>
    </row>
    <row r="60" spans="1:20" x14ac:dyDescent="0.25">
      <c r="A60" s="28" t="s">
        <v>43</v>
      </c>
      <c r="B60">
        <v>350</v>
      </c>
    </row>
    <row r="61" spans="1:20" x14ac:dyDescent="0.25">
      <c r="A61" s="28" t="s">
        <v>44</v>
      </c>
      <c r="B61">
        <v>339</v>
      </c>
    </row>
    <row r="62" spans="1:20" x14ac:dyDescent="0.25">
      <c r="A62" s="28" t="s">
        <v>50</v>
      </c>
      <c r="B62">
        <v>237</v>
      </c>
    </row>
    <row r="63" spans="1:20" x14ac:dyDescent="0.25">
      <c r="A63" s="28" t="s">
        <v>54</v>
      </c>
      <c r="B63">
        <v>216</v>
      </c>
    </row>
    <row r="64" spans="1:20" x14ac:dyDescent="0.25">
      <c r="A64" s="28" t="s">
        <v>58</v>
      </c>
      <c r="B64">
        <v>183</v>
      </c>
    </row>
    <row r="65" spans="1:2" x14ac:dyDescent="0.25">
      <c r="A65" s="28" t="s">
        <v>59</v>
      </c>
      <c r="B65">
        <v>176</v>
      </c>
    </row>
    <row r="66" spans="1:2" x14ac:dyDescent="0.25">
      <c r="A66" s="28" t="s">
        <v>62</v>
      </c>
      <c r="B66">
        <v>142</v>
      </c>
    </row>
    <row r="67" spans="1:2" x14ac:dyDescent="0.25">
      <c r="A67" s="28" t="s">
        <v>70</v>
      </c>
      <c r="B67">
        <v>95</v>
      </c>
    </row>
    <row r="84" spans="1:2" x14ac:dyDescent="0.25">
      <c r="A84" s="29" t="s">
        <v>38</v>
      </c>
      <c r="B84">
        <v>420</v>
      </c>
    </row>
    <row r="85" spans="1:2" x14ac:dyDescent="0.25">
      <c r="A85" s="29" t="s">
        <v>39</v>
      </c>
      <c r="B85">
        <v>412</v>
      </c>
    </row>
    <row r="86" spans="1:2" x14ac:dyDescent="0.25">
      <c r="A86" s="29" t="s">
        <v>41</v>
      </c>
      <c r="B86">
        <v>374</v>
      </c>
    </row>
    <row r="87" spans="1:2" x14ac:dyDescent="0.25">
      <c r="A87" s="29" t="s">
        <v>42</v>
      </c>
      <c r="B87">
        <v>363</v>
      </c>
    </row>
    <row r="88" spans="1:2" x14ac:dyDescent="0.25">
      <c r="A88" s="28" t="s">
        <v>49</v>
      </c>
      <c r="B88">
        <v>272</v>
      </c>
    </row>
    <row r="89" spans="1:2" x14ac:dyDescent="0.25">
      <c r="A89" s="28" t="s">
        <v>51</v>
      </c>
      <c r="B89">
        <v>223</v>
      </c>
    </row>
    <row r="90" spans="1:2" x14ac:dyDescent="0.25">
      <c r="A90" s="28" t="s">
        <v>55</v>
      </c>
      <c r="B90">
        <v>214</v>
      </c>
    </row>
    <row r="91" spans="1:2" x14ac:dyDescent="0.25">
      <c r="A91" s="28" t="s">
        <v>57</v>
      </c>
      <c r="B91">
        <v>211</v>
      </c>
    </row>
    <row r="92" spans="1:2" x14ac:dyDescent="0.25">
      <c r="A92" s="28" t="s">
        <v>60</v>
      </c>
      <c r="B92">
        <v>165</v>
      </c>
    </row>
    <row r="93" spans="1:2" x14ac:dyDescent="0.25">
      <c r="A93" s="28" t="s">
        <v>61</v>
      </c>
      <c r="B93">
        <v>146</v>
      </c>
    </row>
    <row r="94" spans="1:2" x14ac:dyDescent="0.25">
      <c r="A94" s="28" t="s">
        <v>65</v>
      </c>
      <c r="B94">
        <v>118</v>
      </c>
    </row>
    <row r="95" spans="1:2" x14ac:dyDescent="0.25">
      <c r="A95" s="28" t="s">
        <v>66</v>
      </c>
      <c r="B95">
        <v>108</v>
      </c>
    </row>
    <row r="96" spans="1:2" x14ac:dyDescent="0.25">
      <c r="A96" s="28" t="s">
        <v>67</v>
      </c>
      <c r="B96">
        <v>105</v>
      </c>
    </row>
    <row r="97" spans="1:2" x14ac:dyDescent="0.25">
      <c r="A97" s="28" t="s">
        <v>68</v>
      </c>
      <c r="B97">
        <v>104</v>
      </c>
    </row>
    <row r="98" spans="1:2" x14ac:dyDescent="0.25">
      <c r="A98" s="28" t="s">
        <v>69</v>
      </c>
      <c r="B98">
        <v>98</v>
      </c>
    </row>
    <row r="99" spans="1:2" x14ac:dyDescent="0.25">
      <c r="A99" s="28" t="s">
        <v>71</v>
      </c>
      <c r="B99">
        <v>95</v>
      </c>
    </row>
    <row r="100" spans="1:2" x14ac:dyDescent="0.25">
      <c r="A100" s="28" t="s">
        <v>73</v>
      </c>
      <c r="B100">
        <v>89</v>
      </c>
    </row>
    <row r="101" spans="1:2" x14ac:dyDescent="0.25">
      <c r="A101" s="28" t="s">
        <v>74</v>
      </c>
      <c r="B101">
        <v>86</v>
      </c>
    </row>
    <row r="102" spans="1:2" x14ac:dyDescent="0.25">
      <c r="A102" s="28" t="s">
        <v>77</v>
      </c>
      <c r="B102">
        <v>59</v>
      </c>
    </row>
    <row r="103" spans="1:2" x14ac:dyDescent="0.25">
      <c r="A103" s="28" t="s">
        <v>79</v>
      </c>
      <c r="B103">
        <v>47</v>
      </c>
    </row>
    <row r="104" spans="1:2" x14ac:dyDescent="0.25">
      <c r="A104" s="28" t="s">
        <v>81</v>
      </c>
      <c r="B104">
        <v>33</v>
      </c>
    </row>
    <row r="105" spans="1:2" x14ac:dyDescent="0.25">
      <c r="A105" s="28" t="s">
        <v>82</v>
      </c>
      <c r="B105">
        <v>26</v>
      </c>
    </row>
    <row r="106" spans="1:2" x14ac:dyDescent="0.25">
      <c r="A106" s="28" t="s">
        <v>83</v>
      </c>
      <c r="B106">
        <v>20</v>
      </c>
    </row>
    <row r="107" spans="1:2" x14ac:dyDescent="0.25">
      <c r="A107" s="28" t="s">
        <v>84</v>
      </c>
      <c r="B107">
        <v>18</v>
      </c>
    </row>
    <row r="108" spans="1:2" x14ac:dyDescent="0.25">
      <c r="A108" s="28" t="s">
        <v>85</v>
      </c>
      <c r="B108">
        <v>14</v>
      </c>
    </row>
    <row r="109" spans="1:2" x14ac:dyDescent="0.25">
      <c r="A109" s="28" t="s">
        <v>88</v>
      </c>
      <c r="B109">
        <v>4</v>
      </c>
    </row>
    <row r="169" spans="1:3" x14ac:dyDescent="0.25">
      <c r="A169" t="s">
        <v>92</v>
      </c>
    </row>
    <row r="170" spans="1:3" x14ac:dyDescent="0.25">
      <c r="A170" t="s">
        <v>0</v>
      </c>
      <c r="B170">
        <v>15921</v>
      </c>
    </row>
    <row r="171" spans="1:3" x14ac:dyDescent="0.25">
      <c r="B171" t="s">
        <v>7</v>
      </c>
      <c r="C171" s="36">
        <v>2849</v>
      </c>
    </row>
    <row r="172" spans="1:3" x14ac:dyDescent="0.25">
      <c r="B172" t="s">
        <v>3</v>
      </c>
      <c r="C172" s="36">
        <v>1749</v>
      </c>
    </row>
    <row r="173" spans="1:3" x14ac:dyDescent="0.25">
      <c r="B173" t="s">
        <v>1</v>
      </c>
      <c r="C173" s="36">
        <v>1182</v>
      </c>
    </row>
    <row r="174" spans="1:3" x14ac:dyDescent="0.25">
      <c r="B174" t="s">
        <v>2</v>
      </c>
      <c r="C174" s="36">
        <v>1075</v>
      </c>
    </row>
    <row r="175" spans="1:3" x14ac:dyDescent="0.25">
      <c r="B175" t="s">
        <v>6</v>
      </c>
      <c r="C175" s="36">
        <v>1024</v>
      </c>
    </row>
    <row r="176" spans="1:3" x14ac:dyDescent="0.25">
      <c r="A176" t="s">
        <v>1</v>
      </c>
      <c r="B176">
        <v>11419</v>
      </c>
    </row>
    <row r="177" spans="1:3" x14ac:dyDescent="0.25">
      <c r="B177" t="s">
        <v>0</v>
      </c>
      <c r="C177" s="36">
        <v>1285</v>
      </c>
    </row>
    <row r="178" spans="1:3" x14ac:dyDescent="0.25">
      <c r="B178" t="s">
        <v>5</v>
      </c>
      <c r="C178" s="36">
        <v>1225</v>
      </c>
    </row>
    <row r="179" spans="1:3" x14ac:dyDescent="0.25">
      <c r="B179" t="s">
        <v>21</v>
      </c>
      <c r="C179" s="36">
        <v>1177</v>
      </c>
    </row>
    <row r="180" spans="1:3" x14ac:dyDescent="0.25">
      <c r="B180" t="s">
        <v>10</v>
      </c>
      <c r="C180" s="36">
        <v>1004</v>
      </c>
    </row>
    <row r="181" spans="1:3" x14ac:dyDescent="0.25">
      <c r="B181" t="s">
        <v>8</v>
      </c>
      <c r="C181" s="36">
        <v>877</v>
      </c>
    </row>
    <row r="182" spans="1:3" x14ac:dyDescent="0.25">
      <c r="A182" t="s">
        <v>2</v>
      </c>
      <c r="B182">
        <v>10130</v>
      </c>
    </row>
    <row r="183" spans="1:3" x14ac:dyDescent="0.25">
      <c r="B183" t="s">
        <v>0</v>
      </c>
      <c r="C183" s="36">
        <v>3822</v>
      </c>
    </row>
    <row r="184" spans="1:3" x14ac:dyDescent="0.25">
      <c r="B184" t="s">
        <v>1</v>
      </c>
      <c r="C184" s="36">
        <v>1088</v>
      </c>
    </row>
    <row r="185" spans="1:3" x14ac:dyDescent="0.25">
      <c r="B185" t="s">
        <v>15</v>
      </c>
      <c r="C185" s="36">
        <v>536</v>
      </c>
    </row>
    <row r="186" spans="1:3" x14ac:dyDescent="0.25">
      <c r="B186" t="s">
        <v>4</v>
      </c>
      <c r="C186" s="36">
        <v>495</v>
      </c>
    </row>
    <row r="187" spans="1:3" x14ac:dyDescent="0.25">
      <c r="B187" t="s">
        <v>18</v>
      </c>
      <c r="C187" s="36">
        <v>370</v>
      </c>
    </row>
    <row r="188" spans="1:3" x14ac:dyDescent="0.25">
      <c r="A188" t="s">
        <v>3</v>
      </c>
      <c r="B188">
        <v>9795</v>
      </c>
    </row>
    <row r="189" spans="1:3" x14ac:dyDescent="0.25">
      <c r="B189" t="s">
        <v>0</v>
      </c>
      <c r="C189" s="36">
        <v>1546</v>
      </c>
    </row>
    <row r="190" spans="1:3" x14ac:dyDescent="0.25">
      <c r="B190" t="s">
        <v>8</v>
      </c>
      <c r="C190" s="36">
        <v>902</v>
      </c>
    </row>
    <row r="191" spans="1:3" x14ac:dyDescent="0.25">
      <c r="B191" t="s">
        <v>4</v>
      </c>
      <c r="C191" s="36">
        <v>865</v>
      </c>
    </row>
    <row r="192" spans="1:3" x14ac:dyDescent="0.25">
      <c r="B192" t="s">
        <v>2</v>
      </c>
      <c r="C192" s="36">
        <v>756</v>
      </c>
    </row>
    <row r="193" spans="1:3" x14ac:dyDescent="0.25">
      <c r="B193" t="s">
        <v>1</v>
      </c>
      <c r="C193" s="36">
        <v>685</v>
      </c>
    </row>
    <row r="194" spans="1:3" x14ac:dyDescent="0.25">
      <c r="A194" t="s">
        <v>4</v>
      </c>
      <c r="B194">
        <v>9245</v>
      </c>
    </row>
    <row r="195" spans="1:3" x14ac:dyDescent="0.25">
      <c r="B195" t="s">
        <v>3</v>
      </c>
      <c r="C195" s="36">
        <v>1778</v>
      </c>
    </row>
    <row r="196" spans="1:3" x14ac:dyDescent="0.25">
      <c r="B196" t="s">
        <v>6</v>
      </c>
      <c r="C196" s="36">
        <v>1553</v>
      </c>
    </row>
    <row r="197" spans="1:3" x14ac:dyDescent="0.25">
      <c r="B197" t="s">
        <v>16</v>
      </c>
      <c r="C197" s="36">
        <v>770</v>
      </c>
    </row>
    <row r="198" spans="1:3" x14ac:dyDescent="0.25">
      <c r="B198" t="s">
        <v>17</v>
      </c>
      <c r="C198" s="36">
        <v>717</v>
      </c>
    </row>
    <row r="199" spans="1:3" x14ac:dyDescent="0.25">
      <c r="B199" t="s">
        <v>2</v>
      </c>
      <c r="C199" s="36">
        <v>712</v>
      </c>
    </row>
    <row r="200" spans="1:3" x14ac:dyDescent="0.25">
      <c r="A200" t="s">
        <v>5</v>
      </c>
      <c r="B200">
        <v>9162</v>
      </c>
    </row>
    <row r="201" spans="1:3" x14ac:dyDescent="0.25">
      <c r="B201" t="s">
        <v>1</v>
      </c>
      <c r="C201" s="36">
        <v>2287</v>
      </c>
    </row>
    <row r="202" spans="1:3" x14ac:dyDescent="0.25">
      <c r="B202" t="s">
        <v>3</v>
      </c>
      <c r="C202" s="36">
        <v>1164</v>
      </c>
    </row>
    <row r="203" spans="1:3" x14ac:dyDescent="0.25">
      <c r="B203" t="s">
        <v>6</v>
      </c>
      <c r="C203" s="36">
        <v>917</v>
      </c>
    </row>
    <row r="204" spans="1:3" x14ac:dyDescent="0.25">
      <c r="B204" t="s">
        <v>16</v>
      </c>
      <c r="C204" s="36">
        <v>862</v>
      </c>
    </row>
    <row r="205" spans="1:3" x14ac:dyDescent="0.25">
      <c r="B205" t="s">
        <v>7</v>
      </c>
      <c r="C205" s="36">
        <v>849</v>
      </c>
    </row>
    <row r="206" spans="1:3" x14ac:dyDescent="0.25">
      <c r="A206" t="s">
        <v>6</v>
      </c>
      <c r="B206">
        <v>8835</v>
      </c>
    </row>
    <row r="207" spans="1:3" x14ac:dyDescent="0.25">
      <c r="B207" t="s">
        <v>5</v>
      </c>
      <c r="C207" s="36">
        <v>866</v>
      </c>
    </row>
    <row r="208" spans="1:3" x14ac:dyDescent="0.25">
      <c r="B208" t="s">
        <v>0</v>
      </c>
      <c r="C208" s="36">
        <v>842</v>
      </c>
    </row>
    <row r="209" spans="1:3" x14ac:dyDescent="0.25">
      <c r="B209" t="s">
        <v>12</v>
      </c>
      <c r="C209" s="36">
        <v>810</v>
      </c>
    </row>
    <row r="210" spans="1:3" x14ac:dyDescent="0.25">
      <c r="B210" t="s">
        <v>1</v>
      </c>
      <c r="C210" s="36">
        <v>787</v>
      </c>
    </row>
    <row r="211" spans="1:3" x14ac:dyDescent="0.25">
      <c r="B211" t="s">
        <v>4</v>
      </c>
      <c r="C211" s="36">
        <v>756</v>
      </c>
    </row>
    <row r="212" spans="1:3" x14ac:dyDescent="0.25">
      <c r="A212" t="s">
        <v>7</v>
      </c>
      <c r="B212">
        <v>7970</v>
      </c>
    </row>
    <row r="213" spans="1:3" x14ac:dyDescent="0.25">
      <c r="B213" t="s">
        <v>9</v>
      </c>
      <c r="C213" s="36">
        <v>2243</v>
      </c>
    </row>
    <row r="214" spans="1:3" x14ac:dyDescent="0.25">
      <c r="B214" t="s">
        <v>0</v>
      </c>
      <c r="C214" s="36">
        <v>1449</v>
      </c>
    </row>
    <row r="215" spans="1:3" x14ac:dyDescent="0.25">
      <c r="B215" t="s">
        <v>8</v>
      </c>
      <c r="C215" s="36">
        <v>739</v>
      </c>
    </row>
    <row r="216" spans="1:3" x14ac:dyDescent="0.25">
      <c r="B216" t="s">
        <v>1</v>
      </c>
      <c r="C216" s="36">
        <v>563</v>
      </c>
    </row>
    <row r="217" spans="1:3" x14ac:dyDescent="0.25">
      <c r="B217" t="s">
        <v>10</v>
      </c>
      <c r="C217" s="36">
        <v>466</v>
      </c>
    </row>
    <row r="218" spans="1:3" x14ac:dyDescent="0.25">
      <c r="A218" t="s">
        <v>8</v>
      </c>
      <c r="B218">
        <v>7770</v>
      </c>
    </row>
    <row r="219" spans="1:3" x14ac:dyDescent="0.25">
      <c r="B219" t="s">
        <v>6</v>
      </c>
      <c r="C219" s="36">
        <v>2447</v>
      </c>
    </row>
    <row r="220" spans="1:3" x14ac:dyDescent="0.25">
      <c r="B220" t="s">
        <v>1</v>
      </c>
      <c r="C220" s="36">
        <v>1014</v>
      </c>
    </row>
    <row r="221" spans="1:3" x14ac:dyDescent="0.25">
      <c r="B221" t="s">
        <v>7</v>
      </c>
      <c r="C221" s="36">
        <v>654</v>
      </c>
    </row>
    <row r="222" spans="1:3" x14ac:dyDescent="0.25">
      <c r="B222" t="s">
        <v>9</v>
      </c>
      <c r="C222" s="36">
        <v>642</v>
      </c>
    </row>
    <row r="223" spans="1:3" x14ac:dyDescent="0.25">
      <c r="B223" t="s">
        <v>16</v>
      </c>
      <c r="C223" s="36">
        <v>515</v>
      </c>
    </row>
    <row r="224" spans="1:3" x14ac:dyDescent="0.25">
      <c r="A224" t="s">
        <v>9</v>
      </c>
      <c r="B224">
        <v>5916</v>
      </c>
    </row>
    <row r="225" spans="1:3" x14ac:dyDescent="0.25">
      <c r="B225" t="s">
        <v>15</v>
      </c>
      <c r="C225" s="36">
        <v>1899</v>
      </c>
    </row>
    <row r="226" spans="1:3" x14ac:dyDescent="0.25">
      <c r="B226" t="s">
        <v>4</v>
      </c>
      <c r="C226" s="36">
        <v>675</v>
      </c>
    </row>
    <row r="227" spans="1:3" x14ac:dyDescent="0.25">
      <c r="B227" t="s">
        <v>8</v>
      </c>
      <c r="C227" s="36">
        <v>656</v>
      </c>
    </row>
    <row r="228" spans="1:3" x14ac:dyDescent="0.25">
      <c r="B228" t="s">
        <v>3</v>
      </c>
      <c r="C228" s="36">
        <v>295</v>
      </c>
    </row>
    <row r="229" spans="1:3" x14ac:dyDescent="0.25">
      <c r="B229" t="s">
        <v>10</v>
      </c>
      <c r="C229" s="36">
        <v>293</v>
      </c>
    </row>
    <row r="230" spans="1:3" x14ac:dyDescent="0.25">
      <c r="A230" t="s">
        <v>10</v>
      </c>
      <c r="B230">
        <v>5517</v>
      </c>
    </row>
    <row r="231" spans="1:3" x14ac:dyDescent="0.25">
      <c r="B231" t="s">
        <v>12</v>
      </c>
      <c r="C231" s="36">
        <v>674</v>
      </c>
    </row>
    <row r="232" spans="1:3" x14ac:dyDescent="0.25">
      <c r="B232" t="s">
        <v>13</v>
      </c>
      <c r="C232" s="36">
        <v>528</v>
      </c>
    </row>
    <row r="233" spans="1:3" x14ac:dyDescent="0.25">
      <c r="B233" t="s">
        <v>14</v>
      </c>
      <c r="C233" s="36">
        <v>485</v>
      </c>
    </row>
    <row r="234" spans="1:3" x14ac:dyDescent="0.25">
      <c r="B234" t="s">
        <v>6</v>
      </c>
      <c r="C234" s="36">
        <v>362</v>
      </c>
    </row>
    <row r="235" spans="1:3" x14ac:dyDescent="0.25">
      <c r="B235" t="s">
        <v>2</v>
      </c>
      <c r="C235" s="36">
        <v>361</v>
      </c>
    </row>
    <row r="236" spans="1:3" x14ac:dyDescent="0.25">
      <c r="A236" t="s">
        <v>11</v>
      </c>
      <c r="B236">
        <v>5019</v>
      </c>
    </row>
    <row r="237" spans="1:3" x14ac:dyDescent="0.25">
      <c r="B237" t="s">
        <v>29</v>
      </c>
      <c r="C237" s="36">
        <v>486</v>
      </c>
    </row>
    <row r="238" spans="1:3" x14ac:dyDescent="0.25">
      <c r="B238" t="s">
        <v>24</v>
      </c>
      <c r="C238" s="36">
        <v>473</v>
      </c>
    </row>
    <row r="239" spans="1:3" x14ac:dyDescent="0.25">
      <c r="B239" t="s">
        <v>19</v>
      </c>
      <c r="C239" s="36">
        <v>469</v>
      </c>
    </row>
    <row r="240" spans="1:3" x14ac:dyDescent="0.25">
      <c r="B240" t="s">
        <v>22</v>
      </c>
      <c r="C240" s="36">
        <v>378</v>
      </c>
    </row>
    <row r="241" spans="1:3" x14ac:dyDescent="0.25">
      <c r="B241" t="s">
        <v>34</v>
      </c>
      <c r="C241" s="36">
        <v>230</v>
      </c>
    </row>
    <row r="242" spans="1:3" x14ac:dyDescent="0.25">
      <c r="A242" t="s">
        <v>12</v>
      </c>
      <c r="B242">
        <v>4951</v>
      </c>
    </row>
    <row r="243" spans="1:3" x14ac:dyDescent="0.25">
      <c r="B243" t="s">
        <v>0</v>
      </c>
      <c r="C243" s="36">
        <v>1175</v>
      </c>
    </row>
    <row r="244" spans="1:3" x14ac:dyDescent="0.25">
      <c r="B244" t="s">
        <v>8</v>
      </c>
      <c r="C244" s="36">
        <v>647</v>
      </c>
    </row>
    <row r="245" spans="1:3" x14ac:dyDescent="0.25">
      <c r="B245" t="s">
        <v>5</v>
      </c>
      <c r="C245" s="36">
        <v>509</v>
      </c>
    </row>
    <row r="246" spans="1:3" x14ac:dyDescent="0.25">
      <c r="B246" t="s">
        <v>10</v>
      </c>
      <c r="C246" s="36">
        <v>499</v>
      </c>
    </row>
    <row r="247" spans="1:3" x14ac:dyDescent="0.25">
      <c r="B247" t="s">
        <v>17</v>
      </c>
      <c r="C247" s="36">
        <v>345</v>
      </c>
    </row>
    <row r="248" spans="1:3" x14ac:dyDescent="0.25">
      <c r="A248" t="s">
        <v>13</v>
      </c>
      <c r="B248">
        <v>4862</v>
      </c>
    </row>
    <row r="249" spans="1:3" x14ac:dyDescent="0.25">
      <c r="B249" t="s">
        <v>4</v>
      </c>
      <c r="C249" s="36">
        <v>1663</v>
      </c>
    </row>
    <row r="250" spans="1:3" x14ac:dyDescent="0.25">
      <c r="B250" t="s">
        <v>3</v>
      </c>
      <c r="C250" s="36">
        <v>553</v>
      </c>
    </row>
    <row r="251" spans="1:3" x14ac:dyDescent="0.25">
      <c r="B251" t="s">
        <v>21</v>
      </c>
      <c r="C251" s="36">
        <v>510</v>
      </c>
    </row>
    <row r="252" spans="1:3" x14ac:dyDescent="0.25">
      <c r="B252" t="s">
        <v>0</v>
      </c>
      <c r="C252" s="36">
        <v>416</v>
      </c>
    </row>
    <row r="253" spans="1:3" x14ac:dyDescent="0.25">
      <c r="B253" t="s">
        <v>1</v>
      </c>
      <c r="C253" s="36">
        <v>389</v>
      </c>
    </row>
    <row r="254" spans="1:3" x14ac:dyDescent="0.25">
      <c r="A254" t="s">
        <v>14</v>
      </c>
      <c r="B254">
        <v>4768</v>
      </c>
    </row>
    <row r="255" spans="1:3" x14ac:dyDescent="0.25">
      <c r="B255" t="s">
        <v>5</v>
      </c>
      <c r="C255" s="36">
        <v>1091</v>
      </c>
    </row>
    <row r="256" spans="1:3" x14ac:dyDescent="0.25">
      <c r="B256" t="s">
        <v>4</v>
      </c>
      <c r="C256" s="36">
        <v>695</v>
      </c>
    </row>
    <row r="257" spans="1:3" x14ac:dyDescent="0.25">
      <c r="B257" t="s">
        <v>17</v>
      </c>
      <c r="C257" s="36">
        <v>572</v>
      </c>
    </row>
    <row r="258" spans="1:3" x14ac:dyDescent="0.25">
      <c r="B258" t="s">
        <v>0</v>
      </c>
      <c r="C258" s="36">
        <v>457</v>
      </c>
    </row>
    <row r="259" spans="1:3" x14ac:dyDescent="0.25">
      <c r="B259" t="s">
        <v>3</v>
      </c>
      <c r="C259" s="36">
        <v>319</v>
      </c>
    </row>
    <row r="260" spans="1:3" x14ac:dyDescent="0.25">
      <c r="A260" t="s">
        <v>15</v>
      </c>
      <c r="B260">
        <v>4547</v>
      </c>
    </row>
    <row r="261" spans="1:3" x14ac:dyDescent="0.25">
      <c r="B261" t="s">
        <v>13</v>
      </c>
      <c r="C261" s="36">
        <v>652</v>
      </c>
    </row>
    <row r="262" spans="1:3" x14ac:dyDescent="0.25">
      <c r="B262" t="s">
        <v>2</v>
      </c>
      <c r="C262" s="36">
        <v>382</v>
      </c>
    </row>
    <row r="263" spans="1:3" x14ac:dyDescent="0.25">
      <c r="B263" t="s">
        <v>5</v>
      </c>
      <c r="C263" s="36">
        <v>375</v>
      </c>
    </row>
    <row r="264" spans="1:3" x14ac:dyDescent="0.25">
      <c r="B264" t="s">
        <v>14</v>
      </c>
      <c r="C264" s="36">
        <v>342</v>
      </c>
    </row>
    <row r="265" spans="1:3" x14ac:dyDescent="0.25">
      <c r="B265" t="s">
        <v>0</v>
      </c>
      <c r="C265" s="36">
        <v>236</v>
      </c>
    </row>
    <row r="266" spans="1:3" x14ac:dyDescent="0.25">
      <c r="A266" t="s">
        <v>16</v>
      </c>
      <c r="B266">
        <v>4190</v>
      </c>
    </row>
    <row r="267" spans="1:3" x14ac:dyDescent="0.25">
      <c r="B267" t="s">
        <v>0</v>
      </c>
      <c r="C267" s="36">
        <v>1147</v>
      </c>
    </row>
    <row r="268" spans="1:3" x14ac:dyDescent="0.25">
      <c r="B268" t="s">
        <v>5</v>
      </c>
      <c r="C268" s="36">
        <v>653</v>
      </c>
    </row>
    <row r="269" spans="1:3" x14ac:dyDescent="0.25">
      <c r="B269" t="s">
        <v>14</v>
      </c>
      <c r="C269" s="36">
        <v>456</v>
      </c>
    </row>
    <row r="270" spans="1:3" x14ac:dyDescent="0.25">
      <c r="B270" t="s">
        <v>4</v>
      </c>
      <c r="C270" s="36">
        <v>413</v>
      </c>
    </row>
    <row r="271" spans="1:3" x14ac:dyDescent="0.25">
      <c r="B271" t="s">
        <v>6</v>
      </c>
      <c r="C271" s="36">
        <v>222</v>
      </c>
    </row>
    <row r="272" spans="1:3" x14ac:dyDescent="0.25">
      <c r="A272" t="s">
        <v>17</v>
      </c>
      <c r="B272">
        <v>4056</v>
      </c>
    </row>
    <row r="273" spans="1:3" x14ac:dyDescent="0.25">
      <c r="B273" t="s">
        <v>1</v>
      </c>
      <c r="C273" s="36">
        <v>1135</v>
      </c>
    </row>
    <row r="274" spans="1:3" x14ac:dyDescent="0.25">
      <c r="B274" t="s">
        <v>3</v>
      </c>
      <c r="C274" s="36">
        <v>568</v>
      </c>
    </row>
    <row r="275" spans="1:3" x14ac:dyDescent="0.25">
      <c r="B275" t="s">
        <v>7</v>
      </c>
      <c r="C275" s="36">
        <v>526</v>
      </c>
    </row>
    <row r="276" spans="1:3" x14ac:dyDescent="0.25">
      <c r="B276" t="s">
        <v>16</v>
      </c>
      <c r="C276" s="36">
        <v>401</v>
      </c>
    </row>
    <row r="277" spans="1:3" x14ac:dyDescent="0.25">
      <c r="B277" t="s">
        <v>6</v>
      </c>
      <c r="C277" s="36">
        <v>375</v>
      </c>
    </row>
    <row r="278" spans="1:3" x14ac:dyDescent="0.25">
      <c r="A278" t="s">
        <v>18</v>
      </c>
      <c r="B278">
        <v>3399</v>
      </c>
    </row>
    <row r="279" spans="1:3" x14ac:dyDescent="0.25">
      <c r="B279" t="s">
        <v>11</v>
      </c>
      <c r="C279" s="36">
        <v>639</v>
      </c>
    </row>
    <row r="280" spans="1:3" x14ac:dyDescent="0.25">
      <c r="B280" t="s">
        <v>2</v>
      </c>
      <c r="C280" s="36">
        <v>394</v>
      </c>
    </row>
    <row r="281" spans="1:3" x14ac:dyDescent="0.25">
      <c r="B281" t="s">
        <v>18</v>
      </c>
      <c r="C281" s="36">
        <v>304</v>
      </c>
    </row>
    <row r="282" spans="1:3" x14ac:dyDescent="0.25">
      <c r="B282" t="s">
        <v>39</v>
      </c>
      <c r="C282" s="36">
        <v>230</v>
      </c>
    </row>
    <row r="283" spans="1:3" x14ac:dyDescent="0.25">
      <c r="B283" t="s">
        <v>28</v>
      </c>
      <c r="C283" s="36">
        <v>176</v>
      </c>
    </row>
    <row r="284" spans="1:3" x14ac:dyDescent="0.25">
      <c r="A284" t="s">
        <v>19</v>
      </c>
      <c r="B284">
        <v>3197</v>
      </c>
    </row>
    <row r="285" spans="1:3" x14ac:dyDescent="0.25">
      <c r="B285" t="s">
        <v>22</v>
      </c>
      <c r="C285" s="36">
        <v>667</v>
      </c>
    </row>
    <row r="286" spans="1:3" x14ac:dyDescent="0.25">
      <c r="B286" t="s">
        <v>2</v>
      </c>
      <c r="C286" s="36">
        <v>388</v>
      </c>
    </row>
    <row r="287" spans="1:3" x14ac:dyDescent="0.25">
      <c r="B287" t="s">
        <v>8</v>
      </c>
      <c r="C287" s="36">
        <v>200</v>
      </c>
    </row>
    <row r="288" spans="1:3" x14ac:dyDescent="0.25">
      <c r="B288" t="s">
        <v>19</v>
      </c>
      <c r="C288" s="36">
        <v>200</v>
      </c>
    </row>
    <row r="289" spans="1:3" x14ac:dyDescent="0.25">
      <c r="B289" t="s">
        <v>12</v>
      </c>
      <c r="C289" s="36">
        <v>194</v>
      </c>
    </row>
    <row r="290" spans="1:3" x14ac:dyDescent="0.25">
      <c r="A290" t="s">
        <v>20</v>
      </c>
      <c r="B290">
        <v>3191</v>
      </c>
    </row>
    <row r="291" spans="1:3" x14ac:dyDescent="0.25">
      <c r="B291" t="s">
        <v>2</v>
      </c>
      <c r="C291" s="36">
        <v>754</v>
      </c>
    </row>
    <row r="292" spans="1:3" x14ac:dyDescent="0.25">
      <c r="B292" t="s">
        <v>19</v>
      </c>
      <c r="C292" s="36">
        <v>574</v>
      </c>
    </row>
    <row r="293" spans="1:3" x14ac:dyDescent="0.25">
      <c r="B293" t="s">
        <v>11</v>
      </c>
      <c r="C293" s="36">
        <v>457</v>
      </c>
    </row>
    <row r="294" spans="1:3" x14ac:dyDescent="0.25">
      <c r="B294" t="s">
        <v>13</v>
      </c>
      <c r="C294" s="36">
        <v>155</v>
      </c>
    </row>
    <row r="295" spans="1:3" x14ac:dyDescent="0.25">
      <c r="B295" t="s">
        <v>16</v>
      </c>
      <c r="C295" s="36">
        <v>99</v>
      </c>
    </row>
    <row r="296" spans="1:3" x14ac:dyDescent="0.25">
      <c r="A296" t="s">
        <v>21</v>
      </c>
      <c r="B296">
        <v>2538</v>
      </c>
    </row>
    <row r="297" spans="1:3" x14ac:dyDescent="0.25">
      <c r="B297" t="s">
        <v>0</v>
      </c>
      <c r="C297" s="36">
        <v>500</v>
      </c>
    </row>
    <row r="298" spans="1:3" x14ac:dyDescent="0.25">
      <c r="B298" t="s">
        <v>8</v>
      </c>
      <c r="C298" s="36">
        <v>284</v>
      </c>
    </row>
    <row r="299" spans="1:3" x14ac:dyDescent="0.25">
      <c r="B299" t="s">
        <v>3</v>
      </c>
      <c r="C299" s="36">
        <v>271</v>
      </c>
    </row>
    <row r="300" spans="1:3" x14ac:dyDescent="0.25">
      <c r="B300" t="s">
        <v>15</v>
      </c>
      <c r="C300" s="36">
        <v>234</v>
      </c>
    </row>
    <row r="301" spans="1:3" x14ac:dyDescent="0.25">
      <c r="B301" t="s">
        <v>4</v>
      </c>
      <c r="C301" s="36">
        <v>205</v>
      </c>
    </row>
    <row r="302" spans="1:3" x14ac:dyDescent="0.25">
      <c r="A302" t="s">
        <v>22</v>
      </c>
      <c r="B302">
        <v>2180</v>
      </c>
    </row>
    <row r="303" spans="1:3" x14ac:dyDescent="0.25">
      <c r="B303" t="s">
        <v>2</v>
      </c>
      <c r="C303" s="36">
        <v>351</v>
      </c>
    </row>
    <row r="304" spans="1:3" x14ac:dyDescent="0.25">
      <c r="B304" t="s">
        <v>25</v>
      </c>
      <c r="C304" s="36">
        <v>291</v>
      </c>
    </row>
    <row r="305" spans="1:3" x14ac:dyDescent="0.25">
      <c r="B305" t="s">
        <v>8</v>
      </c>
      <c r="C305" s="36">
        <v>151</v>
      </c>
    </row>
    <row r="306" spans="1:3" x14ac:dyDescent="0.25">
      <c r="B306" t="s">
        <v>3</v>
      </c>
      <c r="C306" s="36">
        <v>148</v>
      </c>
    </row>
    <row r="307" spans="1:3" x14ac:dyDescent="0.25">
      <c r="B307" t="s">
        <v>13</v>
      </c>
      <c r="C307" s="36">
        <v>127</v>
      </c>
    </row>
    <row r="308" spans="1:3" x14ac:dyDescent="0.25">
      <c r="A308" t="s">
        <v>23</v>
      </c>
      <c r="B308">
        <v>2157</v>
      </c>
    </row>
    <row r="309" spans="1:3" x14ac:dyDescent="0.25">
      <c r="B309" t="s">
        <v>0</v>
      </c>
      <c r="C309" s="36">
        <v>632</v>
      </c>
    </row>
    <row r="310" spans="1:3" x14ac:dyDescent="0.25">
      <c r="B310" t="s">
        <v>2</v>
      </c>
      <c r="C310" s="36">
        <v>214</v>
      </c>
    </row>
    <row r="311" spans="1:3" x14ac:dyDescent="0.25">
      <c r="B311" t="s">
        <v>3</v>
      </c>
      <c r="C311" s="36">
        <v>159</v>
      </c>
    </row>
    <row r="312" spans="1:3" x14ac:dyDescent="0.25">
      <c r="B312" t="s">
        <v>10</v>
      </c>
      <c r="C312" s="36">
        <v>155</v>
      </c>
    </row>
    <row r="313" spans="1:3" x14ac:dyDescent="0.25">
      <c r="B313" t="s">
        <v>4</v>
      </c>
      <c r="C313" s="36">
        <v>121</v>
      </c>
    </row>
    <row r="314" spans="1:3" x14ac:dyDescent="0.25">
      <c r="A314" t="s">
        <v>24</v>
      </c>
      <c r="B314">
        <v>2071</v>
      </c>
    </row>
    <row r="315" spans="1:3" x14ac:dyDescent="0.25">
      <c r="B315" t="s">
        <v>11</v>
      </c>
      <c r="C315" s="36">
        <v>536</v>
      </c>
    </row>
    <row r="316" spans="1:3" x14ac:dyDescent="0.25">
      <c r="B316" t="s">
        <v>25</v>
      </c>
      <c r="C316" s="36">
        <v>261</v>
      </c>
    </row>
    <row r="317" spans="1:3" x14ac:dyDescent="0.25">
      <c r="B317" t="s">
        <v>13</v>
      </c>
      <c r="C317" s="36">
        <v>163</v>
      </c>
    </row>
    <row r="318" spans="1:3" x14ac:dyDescent="0.25">
      <c r="B318" t="s">
        <v>2</v>
      </c>
      <c r="C318" s="36">
        <v>152</v>
      </c>
    </row>
    <row r="319" spans="1:3" x14ac:dyDescent="0.25">
      <c r="B319" t="s">
        <v>12</v>
      </c>
      <c r="C319" s="36">
        <v>91</v>
      </c>
    </row>
    <row r="320" spans="1:3" x14ac:dyDescent="0.25">
      <c r="A320" t="s">
        <v>25</v>
      </c>
      <c r="B320">
        <v>2035</v>
      </c>
    </row>
    <row r="321" spans="1:3" x14ac:dyDescent="0.25">
      <c r="B321" t="s">
        <v>25</v>
      </c>
      <c r="C321" s="36">
        <v>302</v>
      </c>
    </row>
    <row r="322" spans="1:3" x14ac:dyDescent="0.25">
      <c r="B322" t="s">
        <v>22</v>
      </c>
      <c r="C322" s="36">
        <v>277</v>
      </c>
    </row>
    <row r="323" spans="1:3" x14ac:dyDescent="0.25">
      <c r="B323" t="s">
        <v>24</v>
      </c>
      <c r="C323" s="36">
        <v>239</v>
      </c>
    </row>
    <row r="324" spans="1:3" x14ac:dyDescent="0.25">
      <c r="B324" t="s">
        <v>29</v>
      </c>
      <c r="C324" s="36">
        <v>128</v>
      </c>
    </row>
    <row r="325" spans="1:3" x14ac:dyDescent="0.25">
      <c r="B325" t="s">
        <v>3</v>
      </c>
      <c r="C325" s="36">
        <v>74</v>
      </c>
    </row>
    <row r="326" spans="1:3" x14ac:dyDescent="0.25">
      <c r="A326" t="s">
        <v>26</v>
      </c>
      <c r="B326">
        <v>1539</v>
      </c>
    </row>
    <row r="327" spans="1:3" x14ac:dyDescent="0.25">
      <c r="B327" t="s">
        <v>5</v>
      </c>
      <c r="C327" s="36">
        <v>655</v>
      </c>
    </row>
    <row r="328" spans="1:3" x14ac:dyDescent="0.25">
      <c r="B328" t="s">
        <v>0</v>
      </c>
      <c r="C328" s="36">
        <v>505</v>
      </c>
    </row>
    <row r="329" spans="1:3" x14ac:dyDescent="0.25">
      <c r="B329" t="s">
        <v>8</v>
      </c>
      <c r="C329" s="36">
        <v>87</v>
      </c>
    </row>
    <row r="330" spans="1:3" x14ac:dyDescent="0.25">
      <c r="B330" t="s">
        <v>13</v>
      </c>
      <c r="C330" s="36">
        <v>66</v>
      </c>
    </row>
    <row r="331" spans="1:3" x14ac:dyDescent="0.25">
      <c r="B331" t="s">
        <v>10</v>
      </c>
      <c r="C331" s="36">
        <v>60</v>
      </c>
    </row>
    <row r="332" spans="1:3" x14ac:dyDescent="0.25">
      <c r="A332" t="s">
        <v>27</v>
      </c>
      <c r="B332">
        <v>1365</v>
      </c>
    </row>
    <row r="333" spans="1:3" x14ac:dyDescent="0.25">
      <c r="B333" t="s">
        <v>5</v>
      </c>
      <c r="C333" s="36">
        <v>295</v>
      </c>
    </row>
    <row r="334" spans="1:3" x14ac:dyDescent="0.25">
      <c r="B334" t="s">
        <v>8</v>
      </c>
      <c r="C334" s="36">
        <v>216</v>
      </c>
    </row>
    <row r="335" spans="1:3" x14ac:dyDescent="0.25">
      <c r="B335" t="s">
        <v>10</v>
      </c>
      <c r="C335" s="36">
        <v>146</v>
      </c>
    </row>
    <row r="336" spans="1:3" x14ac:dyDescent="0.25">
      <c r="B336" t="s">
        <v>7</v>
      </c>
      <c r="C336" s="36">
        <v>145</v>
      </c>
    </row>
    <row r="337" spans="1:3" x14ac:dyDescent="0.25">
      <c r="B337" t="s">
        <v>0</v>
      </c>
      <c r="C337" s="36">
        <v>94</v>
      </c>
    </row>
    <row r="338" spans="1:3" x14ac:dyDescent="0.25">
      <c r="A338" t="s">
        <v>28</v>
      </c>
      <c r="B338">
        <v>1267</v>
      </c>
    </row>
    <row r="339" spans="1:3" x14ac:dyDescent="0.25">
      <c r="B339" t="s">
        <v>11</v>
      </c>
      <c r="C339" s="36">
        <v>497</v>
      </c>
    </row>
    <row r="340" spans="1:3" x14ac:dyDescent="0.25">
      <c r="B340" t="s">
        <v>25</v>
      </c>
      <c r="C340" s="36">
        <v>128</v>
      </c>
    </row>
    <row r="341" spans="1:3" x14ac:dyDescent="0.25">
      <c r="B341" t="s">
        <v>33</v>
      </c>
      <c r="C341" s="36">
        <v>98</v>
      </c>
    </row>
    <row r="342" spans="1:3" x14ac:dyDescent="0.25">
      <c r="B342" t="s">
        <v>29</v>
      </c>
      <c r="C342" s="36">
        <v>97</v>
      </c>
    </row>
    <row r="343" spans="1:3" x14ac:dyDescent="0.25">
      <c r="B343" t="s">
        <v>2</v>
      </c>
      <c r="C343" s="36">
        <v>65</v>
      </c>
    </row>
    <row r="344" spans="1:3" x14ac:dyDescent="0.25">
      <c r="A344" t="s">
        <v>29</v>
      </c>
      <c r="B344">
        <v>1267</v>
      </c>
    </row>
    <row r="345" spans="1:3" x14ac:dyDescent="0.25">
      <c r="B345" t="s">
        <v>18</v>
      </c>
      <c r="C345" s="36">
        <v>351</v>
      </c>
    </row>
    <row r="346" spans="1:3" x14ac:dyDescent="0.25">
      <c r="B346" t="s">
        <v>19</v>
      </c>
      <c r="C346" s="36">
        <v>117</v>
      </c>
    </row>
    <row r="347" spans="1:3" x14ac:dyDescent="0.25">
      <c r="B347" t="s">
        <v>9</v>
      </c>
      <c r="C347" s="36">
        <v>79</v>
      </c>
    </row>
    <row r="348" spans="1:3" x14ac:dyDescent="0.25">
      <c r="B348" t="s">
        <v>24</v>
      </c>
      <c r="C348" s="36">
        <v>62</v>
      </c>
    </row>
    <row r="349" spans="1:3" x14ac:dyDescent="0.25">
      <c r="B349" t="s">
        <v>28</v>
      </c>
      <c r="C349" s="36">
        <v>59</v>
      </c>
    </row>
    <row r="350" spans="1:3" x14ac:dyDescent="0.25">
      <c r="A350" t="s">
        <v>30</v>
      </c>
      <c r="B350">
        <v>1140</v>
      </c>
    </row>
    <row r="351" spans="1:3" x14ac:dyDescent="0.25">
      <c r="B351" t="s">
        <v>2</v>
      </c>
      <c r="C351" s="36">
        <v>230</v>
      </c>
    </row>
    <row r="352" spans="1:3" x14ac:dyDescent="0.25">
      <c r="B352" t="s">
        <v>10</v>
      </c>
      <c r="C352" s="36">
        <v>230</v>
      </c>
    </row>
    <row r="353" spans="1:3" x14ac:dyDescent="0.25">
      <c r="B353" t="s">
        <v>14</v>
      </c>
      <c r="C353" s="36">
        <v>160</v>
      </c>
    </row>
    <row r="354" spans="1:3" x14ac:dyDescent="0.25">
      <c r="B354" t="s">
        <v>22</v>
      </c>
      <c r="C354" s="36">
        <v>45</v>
      </c>
    </row>
    <row r="355" spans="1:3" x14ac:dyDescent="0.25">
      <c r="B355" t="s">
        <v>19</v>
      </c>
      <c r="C355" s="36">
        <v>44</v>
      </c>
    </row>
    <row r="356" spans="1:3" x14ac:dyDescent="0.25">
      <c r="A356" t="s">
        <v>31</v>
      </c>
      <c r="B356">
        <v>905</v>
      </c>
    </row>
    <row r="357" spans="1:3" x14ac:dyDescent="0.25">
      <c r="B357" t="s">
        <v>8</v>
      </c>
      <c r="C357" s="36">
        <v>166</v>
      </c>
    </row>
    <row r="358" spans="1:3" x14ac:dyDescent="0.25">
      <c r="B358" t="s">
        <v>3</v>
      </c>
      <c r="C358" s="36">
        <v>151</v>
      </c>
    </row>
    <row r="359" spans="1:3" x14ac:dyDescent="0.25">
      <c r="B359" t="s">
        <v>21</v>
      </c>
      <c r="C359" s="36">
        <v>91</v>
      </c>
    </row>
    <row r="360" spans="1:3" x14ac:dyDescent="0.25">
      <c r="B360" t="s">
        <v>4</v>
      </c>
      <c r="C360" s="36">
        <v>81</v>
      </c>
    </row>
    <row r="361" spans="1:3" x14ac:dyDescent="0.25">
      <c r="B361" t="s">
        <v>10</v>
      </c>
      <c r="C361" s="36">
        <v>55</v>
      </c>
    </row>
    <row r="362" spans="1:3" x14ac:dyDescent="0.25">
      <c r="A362" t="s">
        <v>32</v>
      </c>
      <c r="B362">
        <v>849</v>
      </c>
    </row>
    <row r="363" spans="1:3" x14ac:dyDescent="0.25">
      <c r="B363" t="s">
        <v>13</v>
      </c>
      <c r="C363" s="36">
        <v>150</v>
      </c>
    </row>
    <row r="364" spans="1:3" x14ac:dyDescent="0.25">
      <c r="B364" t="s">
        <v>8</v>
      </c>
      <c r="C364" s="36">
        <v>135</v>
      </c>
    </row>
    <row r="365" spans="1:3" x14ac:dyDescent="0.25">
      <c r="B365" t="s">
        <v>0</v>
      </c>
      <c r="C365" s="36">
        <v>106</v>
      </c>
    </row>
    <row r="366" spans="1:3" x14ac:dyDescent="0.25">
      <c r="B366" t="s">
        <v>1</v>
      </c>
      <c r="C366" s="36">
        <v>97</v>
      </c>
    </row>
    <row r="367" spans="1:3" x14ac:dyDescent="0.25">
      <c r="B367" t="s">
        <v>10</v>
      </c>
      <c r="C367" s="36">
        <v>59</v>
      </c>
    </row>
    <row r="368" spans="1:3" x14ac:dyDescent="0.25">
      <c r="A368" t="s">
        <v>33</v>
      </c>
      <c r="B368">
        <v>624</v>
      </c>
    </row>
    <row r="369" spans="1:3" x14ac:dyDescent="0.25">
      <c r="B369" t="s">
        <v>33</v>
      </c>
      <c r="C369" s="36">
        <v>164</v>
      </c>
    </row>
    <row r="370" spans="1:3" x14ac:dyDescent="0.25">
      <c r="B370" t="s">
        <v>29</v>
      </c>
      <c r="C370" s="36">
        <v>104</v>
      </c>
    </row>
    <row r="371" spans="1:3" x14ac:dyDescent="0.25">
      <c r="B371" t="s">
        <v>22</v>
      </c>
      <c r="C371" s="36">
        <v>38</v>
      </c>
    </row>
    <row r="372" spans="1:3" x14ac:dyDescent="0.25">
      <c r="B372" t="s">
        <v>19</v>
      </c>
      <c r="C372" s="36">
        <v>31</v>
      </c>
    </row>
    <row r="373" spans="1:3" x14ac:dyDescent="0.25">
      <c r="B373" t="s">
        <v>15</v>
      </c>
      <c r="C373" s="36">
        <v>24</v>
      </c>
    </row>
    <row r="374" spans="1:3" x14ac:dyDescent="0.25">
      <c r="A374" t="s">
        <v>34</v>
      </c>
      <c r="B374">
        <v>620</v>
      </c>
    </row>
    <row r="375" spans="1:3" x14ac:dyDescent="0.25">
      <c r="B375" t="s">
        <v>11</v>
      </c>
      <c r="C375" s="36">
        <v>233</v>
      </c>
    </row>
    <row r="376" spans="1:3" x14ac:dyDescent="0.25">
      <c r="B376" t="s">
        <v>18</v>
      </c>
      <c r="C376" s="36">
        <v>72</v>
      </c>
    </row>
    <row r="377" spans="1:3" x14ac:dyDescent="0.25">
      <c r="B377" t="s">
        <v>48</v>
      </c>
      <c r="C377" s="36">
        <v>70</v>
      </c>
    </row>
    <row r="378" spans="1:3" x14ac:dyDescent="0.25">
      <c r="B378" t="s">
        <v>2</v>
      </c>
      <c r="C378" s="36">
        <v>56</v>
      </c>
    </row>
    <row r="379" spans="1:3" x14ac:dyDescent="0.25">
      <c r="B379" t="s">
        <v>36</v>
      </c>
      <c r="C379" s="36">
        <v>39</v>
      </c>
    </row>
    <row r="380" spans="1:3" x14ac:dyDescent="0.25">
      <c r="A380" t="s">
        <v>35</v>
      </c>
      <c r="B380">
        <v>571</v>
      </c>
    </row>
    <row r="381" spans="1:3" x14ac:dyDescent="0.25">
      <c r="B381" t="s">
        <v>0</v>
      </c>
      <c r="C381" s="36">
        <v>240</v>
      </c>
    </row>
    <row r="382" spans="1:3" x14ac:dyDescent="0.25">
      <c r="B382" t="s">
        <v>2</v>
      </c>
      <c r="C382" s="36">
        <v>159</v>
      </c>
    </row>
    <row r="383" spans="1:3" x14ac:dyDescent="0.25">
      <c r="B383" t="s">
        <v>8</v>
      </c>
      <c r="C383" s="36">
        <v>41</v>
      </c>
    </row>
    <row r="384" spans="1:3" x14ac:dyDescent="0.25">
      <c r="B384" t="s">
        <v>10</v>
      </c>
      <c r="C384" s="36">
        <v>28</v>
      </c>
    </row>
    <row r="385" spans="1:3" x14ac:dyDescent="0.25">
      <c r="B385" t="s">
        <v>6</v>
      </c>
      <c r="C385" s="36">
        <v>18</v>
      </c>
    </row>
    <row r="386" spans="1:3" x14ac:dyDescent="0.25">
      <c r="A386" t="s">
        <v>36</v>
      </c>
      <c r="B386">
        <v>504</v>
      </c>
    </row>
    <row r="387" spans="1:3" x14ac:dyDescent="0.25">
      <c r="B387" t="s">
        <v>29</v>
      </c>
      <c r="C387" s="36">
        <v>59</v>
      </c>
    </row>
    <row r="388" spans="1:3" x14ac:dyDescent="0.25">
      <c r="B388" t="s">
        <v>24</v>
      </c>
      <c r="C388" s="36">
        <v>52</v>
      </c>
    </row>
    <row r="389" spans="1:3" x14ac:dyDescent="0.25">
      <c r="B389" t="s">
        <v>50</v>
      </c>
      <c r="C389" s="36">
        <v>46</v>
      </c>
    </row>
    <row r="390" spans="1:3" x14ac:dyDescent="0.25">
      <c r="B390" t="s">
        <v>22</v>
      </c>
      <c r="C390" s="36">
        <v>35</v>
      </c>
    </row>
    <row r="391" spans="1:3" x14ac:dyDescent="0.25">
      <c r="B391" t="s">
        <v>19</v>
      </c>
      <c r="C391" s="36">
        <v>31</v>
      </c>
    </row>
    <row r="392" spans="1:3" x14ac:dyDescent="0.25">
      <c r="A392" t="s">
        <v>37</v>
      </c>
      <c r="B392">
        <v>497</v>
      </c>
    </row>
    <row r="393" spans="1:3" x14ac:dyDescent="0.25">
      <c r="B393" t="s">
        <v>17</v>
      </c>
      <c r="C393" s="36">
        <v>182</v>
      </c>
    </row>
    <row r="394" spans="1:3" x14ac:dyDescent="0.25">
      <c r="B394" t="s">
        <v>7</v>
      </c>
      <c r="C394" s="36">
        <v>163</v>
      </c>
    </row>
    <row r="395" spans="1:3" x14ac:dyDescent="0.25">
      <c r="B395" t="s">
        <v>19</v>
      </c>
      <c r="C395" s="36">
        <v>56</v>
      </c>
    </row>
    <row r="396" spans="1:3" x14ac:dyDescent="0.25">
      <c r="B396" t="s">
        <v>18</v>
      </c>
      <c r="C396" s="36">
        <v>55</v>
      </c>
    </row>
    <row r="397" spans="1:3" x14ac:dyDescent="0.25">
      <c r="B397" t="s">
        <v>3</v>
      </c>
      <c r="C397" s="36">
        <v>32</v>
      </c>
    </row>
    <row r="398" spans="1:3" x14ac:dyDescent="0.25">
      <c r="A398" t="s">
        <v>38</v>
      </c>
      <c r="B398">
        <v>420</v>
      </c>
    </row>
    <row r="399" spans="1:3" x14ac:dyDescent="0.25">
      <c r="B399" t="s">
        <v>3</v>
      </c>
      <c r="C399" s="36">
        <v>119</v>
      </c>
    </row>
    <row r="400" spans="1:3" x14ac:dyDescent="0.25">
      <c r="B400" t="s">
        <v>4</v>
      </c>
      <c r="C400" s="36">
        <v>119</v>
      </c>
    </row>
    <row r="401" spans="1:3" x14ac:dyDescent="0.25">
      <c r="B401" t="s">
        <v>25</v>
      </c>
      <c r="C401" s="36">
        <v>36</v>
      </c>
    </row>
    <row r="402" spans="1:3" x14ac:dyDescent="0.25">
      <c r="B402" t="s">
        <v>61</v>
      </c>
      <c r="C402" s="36">
        <v>22</v>
      </c>
    </row>
    <row r="403" spans="1:3" x14ac:dyDescent="0.25">
      <c r="B403" t="s">
        <v>60</v>
      </c>
      <c r="C403" s="36">
        <v>20</v>
      </c>
    </row>
    <row r="404" spans="1:3" x14ac:dyDescent="0.25">
      <c r="A404" t="s">
        <v>39</v>
      </c>
      <c r="B404">
        <v>412</v>
      </c>
    </row>
    <row r="405" spans="1:3" x14ac:dyDescent="0.25">
      <c r="B405" t="s">
        <v>4</v>
      </c>
      <c r="C405" s="36">
        <v>289</v>
      </c>
    </row>
    <row r="406" spans="1:3" x14ac:dyDescent="0.25">
      <c r="B406" t="s">
        <v>55</v>
      </c>
      <c r="C406" s="36">
        <v>19</v>
      </c>
    </row>
    <row r="407" spans="1:3" x14ac:dyDescent="0.25">
      <c r="B407" t="s">
        <v>11</v>
      </c>
      <c r="C407" s="36">
        <v>17</v>
      </c>
    </row>
    <row r="408" spans="1:3" x14ac:dyDescent="0.25">
      <c r="B408" t="s">
        <v>10</v>
      </c>
      <c r="C408" s="36">
        <v>14</v>
      </c>
    </row>
    <row r="409" spans="1:3" x14ac:dyDescent="0.25">
      <c r="B409" t="s">
        <v>71</v>
      </c>
      <c r="C409" s="36">
        <v>10</v>
      </c>
    </row>
    <row r="410" spans="1:3" x14ac:dyDescent="0.25">
      <c r="A410" t="s">
        <v>40</v>
      </c>
      <c r="B410">
        <v>409</v>
      </c>
    </row>
    <row r="411" spans="1:3" x14ac:dyDescent="0.25">
      <c r="B411" t="s">
        <v>2</v>
      </c>
      <c r="C411" s="36">
        <v>227</v>
      </c>
    </row>
    <row r="412" spans="1:3" x14ac:dyDescent="0.25">
      <c r="B412" t="s">
        <v>20</v>
      </c>
      <c r="C412" s="36">
        <v>65</v>
      </c>
    </row>
    <row r="413" spans="1:3" x14ac:dyDescent="0.25">
      <c r="B413" t="s">
        <v>12</v>
      </c>
      <c r="C413" s="36">
        <v>33</v>
      </c>
    </row>
    <row r="414" spans="1:3" x14ac:dyDescent="0.25">
      <c r="B414" t="s">
        <v>13</v>
      </c>
      <c r="C414" s="36">
        <v>13</v>
      </c>
    </row>
    <row r="415" spans="1:3" x14ac:dyDescent="0.25">
      <c r="B415" t="s">
        <v>6</v>
      </c>
      <c r="C415" s="36">
        <v>11</v>
      </c>
    </row>
    <row r="416" spans="1:3" x14ac:dyDescent="0.25">
      <c r="A416" t="s">
        <v>41</v>
      </c>
      <c r="B416">
        <v>374</v>
      </c>
    </row>
    <row r="417" spans="1:3" x14ac:dyDescent="0.25">
      <c r="B417" t="s">
        <v>6</v>
      </c>
      <c r="C417" s="36">
        <v>118</v>
      </c>
    </row>
    <row r="418" spans="1:3" x14ac:dyDescent="0.25">
      <c r="B418" t="s">
        <v>25</v>
      </c>
      <c r="C418" s="36">
        <v>40</v>
      </c>
    </row>
    <row r="419" spans="1:3" x14ac:dyDescent="0.25">
      <c r="B419" t="s">
        <v>42</v>
      </c>
      <c r="C419" s="36">
        <v>27</v>
      </c>
    </row>
    <row r="420" spans="1:3" x14ac:dyDescent="0.25">
      <c r="B420" t="s">
        <v>38</v>
      </c>
      <c r="C420" s="36">
        <v>23</v>
      </c>
    </row>
    <row r="421" spans="1:3" x14ac:dyDescent="0.25">
      <c r="B421" t="s">
        <v>41</v>
      </c>
      <c r="C421" s="36">
        <v>23</v>
      </c>
    </row>
    <row r="422" spans="1:3" x14ac:dyDescent="0.25">
      <c r="A422" t="s">
        <v>42</v>
      </c>
      <c r="B422">
        <v>363</v>
      </c>
    </row>
    <row r="423" spans="1:3" x14ac:dyDescent="0.25">
      <c r="B423" t="s">
        <v>3</v>
      </c>
      <c r="C423" s="36">
        <v>61</v>
      </c>
    </row>
    <row r="424" spans="1:3" x14ac:dyDescent="0.25">
      <c r="B424" t="s">
        <v>10</v>
      </c>
      <c r="C424" s="36">
        <v>38</v>
      </c>
    </row>
    <row r="425" spans="1:3" x14ac:dyDescent="0.25">
      <c r="B425" t="s">
        <v>25</v>
      </c>
      <c r="C425" s="36">
        <v>28</v>
      </c>
    </row>
    <row r="426" spans="1:3" x14ac:dyDescent="0.25">
      <c r="B426" t="s">
        <v>21</v>
      </c>
      <c r="C426" s="36">
        <v>23</v>
      </c>
    </row>
    <row r="427" spans="1:3" x14ac:dyDescent="0.25">
      <c r="B427" t="s">
        <v>42</v>
      </c>
      <c r="C427" s="36">
        <v>18</v>
      </c>
    </row>
    <row r="428" spans="1:3" x14ac:dyDescent="0.25">
      <c r="A428" t="s">
        <v>43</v>
      </c>
      <c r="B428">
        <v>350</v>
      </c>
    </row>
    <row r="429" spans="1:3" x14ac:dyDescent="0.25">
      <c r="B429" t="s">
        <v>54</v>
      </c>
      <c r="C429" s="36">
        <v>60</v>
      </c>
    </row>
    <row r="430" spans="1:3" x14ac:dyDescent="0.25">
      <c r="B430" t="s">
        <v>15</v>
      </c>
      <c r="C430" s="36">
        <v>44</v>
      </c>
    </row>
    <row r="431" spans="1:3" x14ac:dyDescent="0.25">
      <c r="B431" t="s">
        <v>43</v>
      </c>
      <c r="C431" s="36">
        <v>23</v>
      </c>
    </row>
    <row r="432" spans="1:3" x14ac:dyDescent="0.25">
      <c r="B432" t="s">
        <v>8</v>
      </c>
      <c r="C432" s="36">
        <v>22</v>
      </c>
    </row>
    <row r="433" spans="1:3" x14ac:dyDescent="0.25">
      <c r="B433" t="s">
        <v>58</v>
      </c>
      <c r="C433" s="36">
        <v>18</v>
      </c>
    </row>
    <row r="434" spans="1:3" x14ac:dyDescent="0.25">
      <c r="A434" t="s">
        <v>44</v>
      </c>
      <c r="B434">
        <v>339</v>
      </c>
    </row>
    <row r="435" spans="1:3" x14ac:dyDescent="0.25">
      <c r="B435" t="s">
        <v>33</v>
      </c>
      <c r="C435" s="36">
        <v>34</v>
      </c>
    </row>
    <row r="436" spans="1:3" x14ac:dyDescent="0.25">
      <c r="B436" t="s">
        <v>25</v>
      </c>
      <c r="C436" s="36">
        <v>25</v>
      </c>
    </row>
    <row r="437" spans="1:3" x14ac:dyDescent="0.25">
      <c r="B437" t="s">
        <v>15</v>
      </c>
      <c r="C437" s="36">
        <v>23</v>
      </c>
    </row>
    <row r="438" spans="1:3" x14ac:dyDescent="0.25">
      <c r="B438" t="s">
        <v>24</v>
      </c>
      <c r="C438" s="36">
        <v>20</v>
      </c>
    </row>
    <row r="439" spans="1:3" x14ac:dyDescent="0.25">
      <c r="B439" t="s">
        <v>44</v>
      </c>
      <c r="C439" s="36">
        <v>20</v>
      </c>
    </row>
    <row r="440" spans="1:3" x14ac:dyDescent="0.25">
      <c r="A440" t="s">
        <v>45</v>
      </c>
      <c r="B440">
        <v>331</v>
      </c>
    </row>
    <row r="441" spans="1:3" x14ac:dyDescent="0.25">
      <c r="B441" t="s">
        <v>36</v>
      </c>
      <c r="C441" s="36">
        <v>56</v>
      </c>
    </row>
    <row r="442" spans="1:3" x14ac:dyDescent="0.25">
      <c r="B442" t="s">
        <v>11</v>
      </c>
      <c r="C442" s="36">
        <v>29</v>
      </c>
    </row>
    <row r="443" spans="1:3" x14ac:dyDescent="0.25">
      <c r="B443" t="s">
        <v>1</v>
      </c>
      <c r="C443" s="36">
        <v>25</v>
      </c>
    </row>
    <row r="444" spans="1:3" x14ac:dyDescent="0.25">
      <c r="B444" t="s">
        <v>2</v>
      </c>
      <c r="C444" s="36">
        <v>16</v>
      </c>
    </row>
    <row r="445" spans="1:3" x14ac:dyDescent="0.25">
      <c r="B445" t="s">
        <v>5</v>
      </c>
      <c r="C445" s="36">
        <v>15</v>
      </c>
    </row>
    <row r="446" spans="1:3" x14ac:dyDescent="0.25">
      <c r="A446" t="s">
        <v>46</v>
      </c>
      <c r="B446">
        <v>325</v>
      </c>
    </row>
    <row r="447" spans="1:3" x14ac:dyDescent="0.25">
      <c r="B447" t="s">
        <v>4</v>
      </c>
      <c r="C447" s="36">
        <v>259</v>
      </c>
    </row>
    <row r="448" spans="1:3" x14ac:dyDescent="0.25">
      <c r="B448" t="s">
        <v>2</v>
      </c>
      <c r="C448" s="36">
        <v>33</v>
      </c>
    </row>
    <row r="449" spans="1:3" x14ac:dyDescent="0.25">
      <c r="B449" t="s">
        <v>0</v>
      </c>
      <c r="C449" s="36">
        <v>21</v>
      </c>
    </row>
    <row r="450" spans="1:3" x14ac:dyDescent="0.25">
      <c r="B450" t="s">
        <v>14</v>
      </c>
      <c r="C450" s="36">
        <v>4</v>
      </c>
    </row>
    <row r="451" spans="1:3" x14ac:dyDescent="0.25">
      <c r="B451" t="s">
        <v>5</v>
      </c>
      <c r="C451" s="36">
        <v>3</v>
      </c>
    </row>
    <row r="452" spans="1:3" x14ac:dyDescent="0.25">
      <c r="A452" t="s">
        <v>47</v>
      </c>
      <c r="B452">
        <v>305</v>
      </c>
    </row>
    <row r="453" spans="1:3" x14ac:dyDescent="0.25">
      <c r="B453" t="s">
        <v>47</v>
      </c>
      <c r="C453" s="36">
        <v>61</v>
      </c>
    </row>
    <row r="454" spans="1:3" x14ac:dyDescent="0.25">
      <c r="B454" t="s">
        <v>11</v>
      </c>
      <c r="C454" s="36">
        <v>24</v>
      </c>
    </row>
    <row r="455" spans="1:3" x14ac:dyDescent="0.25">
      <c r="B455" t="s">
        <v>42</v>
      </c>
      <c r="C455" s="36">
        <v>22</v>
      </c>
    </row>
    <row r="456" spans="1:3" x14ac:dyDescent="0.25">
      <c r="B456" t="s">
        <v>8</v>
      </c>
      <c r="C456" s="36">
        <v>15</v>
      </c>
    </row>
    <row r="457" spans="1:3" x14ac:dyDescent="0.25">
      <c r="B457" t="s">
        <v>57</v>
      </c>
      <c r="C457" s="36">
        <v>15</v>
      </c>
    </row>
    <row r="458" spans="1:3" x14ac:dyDescent="0.25">
      <c r="A458" t="s">
        <v>48</v>
      </c>
      <c r="B458">
        <v>277</v>
      </c>
    </row>
    <row r="459" spans="1:3" x14ac:dyDescent="0.25">
      <c r="B459" t="s">
        <v>11</v>
      </c>
      <c r="C459" s="36">
        <v>58</v>
      </c>
    </row>
    <row r="460" spans="1:3" x14ac:dyDescent="0.25">
      <c r="B460" t="s">
        <v>6</v>
      </c>
      <c r="C460" s="36">
        <v>48</v>
      </c>
    </row>
    <row r="461" spans="1:3" x14ac:dyDescent="0.25">
      <c r="B461" t="s">
        <v>40</v>
      </c>
      <c r="C461" s="36">
        <v>42</v>
      </c>
    </row>
    <row r="462" spans="1:3" x14ac:dyDescent="0.25">
      <c r="B462" t="s">
        <v>1</v>
      </c>
      <c r="C462" s="36">
        <v>34</v>
      </c>
    </row>
    <row r="463" spans="1:3" x14ac:dyDescent="0.25">
      <c r="B463" t="s">
        <v>34</v>
      </c>
      <c r="C463" s="36">
        <v>28</v>
      </c>
    </row>
    <row r="464" spans="1:3" x14ac:dyDescent="0.25">
      <c r="A464" t="s">
        <v>49</v>
      </c>
      <c r="B464">
        <v>272</v>
      </c>
    </row>
    <row r="465" spans="1:3" x14ac:dyDescent="0.25">
      <c r="B465" t="s">
        <v>5</v>
      </c>
      <c r="C465" s="36">
        <v>81</v>
      </c>
    </row>
    <row r="466" spans="1:3" x14ac:dyDescent="0.25">
      <c r="B466" t="s">
        <v>42</v>
      </c>
      <c r="C466" s="36">
        <v>36</v>
      </c>
    </row>
    <row r="467" spans="1:3" x14ac:dyDescent="0.25">
      <c r="B467" t="s">
        <v>4</v>
      </c>
      <c r="C467" s="36">
        <v>27</v>
      </c>
    </row>
    <row r="468" spans="1:3" x14ac:dyDescent="0.25">
      <c r="B468" t="s">
        <v>51</v>
      </c>
      <c r="C468" s="36">
        <v>25</v>
      </c>
    </row>
    <row r="469" spans="1:3" x14ac:dyDescent="0.25">
      <c r="B469" t="s">
        <v>8</v>
      </c>
      <c r="C469" s="36">
        <v>24</v>
      </c>
    </row>
    <row r="470" spans="1:3" x14ac:dyDescent="0.25">
      <c r="A470" t="s">
        <v>50</v>
      </c>
      <c r="B470">
        <v>237</v>
      </c>
    </row>
    <row r="471" spans="1:3" x14ac:dyDescent="0.25">
      <c r="B471" t="s">
        <v>50</v>
      </c>
      <c r="C471" s="36">
        <v>84</v>
      </c>
    </row>
    <row r="472" spans="1:3" x14ac:dyDescent="0.25">
      <c r="B472" t="s">
        <v>10</v>
      </c>
      <c r="C472" s="36">
        <v>28</v>
      </c>
    </row>
    <row r="473" spans="1:3" x14ac:dyDescent="0.25">
      <c r="B473" t="s">
        <v>25</v>
      </c>
      <c r="C473" s="36">
        <v>17</v>
      </c>
    </row>
    <row r="474" spans="1:3" x14ac:dyDescent="0.25">
      <c r="B474" t="s">
        <v>33</v>
      </c>
      <c r="C474" s="36">
        <v>15</v>
      </c>
    </row>
    <row r="475" spans="1:3" x14ac:dyDescent="0.25">
      <c r="B475" t="s">
        <v>36</v>
      </c>
      <c r="C475" s="36">
        <v>12</v>
      </c>
    </row>
    <row r="476" spans="1:3" x14ac:dyDescent="0.25">
      <c r="A476" t="s">
        <v>51</v>
      </c>
      <c r="B476">
        <v>223</v>
      </c>
    </row>
    <row r="477" spans="1:3" x14ac:dyDescent="0.25">
      <c r="B477" t="s">
        <v>6</v>
      </c>
      <c r="C477" s="36">
        <v>70</v>
      </c>
    </row>
    <row r="478" spans="1:3" x14ac:dyDescent="0.25">
      <c r="B478" t="s">
        <v>49</v>
      </c>
      <c r="C478" s="36">
        <v>37</v>
      </c>
    </row>
    <row r="479" spans="1:3" x14ac:dyDescent="0.25">
      <c r="B479" t="s">
        <v>39</v>
      </c>
      <c r="C479" s="36">
        <v>28</v>
      </c>
    </row>
    <row r="480" spans="1:3" x14ac:dyDescent="0.25">
      <c r="B480" t="s">
        <v>61</v>
      </c>
      <c r="C480" s="36">
        <v>19</v>
      </c>
    </row>
    <row r="481" spans="1:3" x14ac:dyDescent="0.25">
      <c r="B481" t="s">
        <v>57</v>
      </c>
      <c r="C481" s="36">
        <v>9</v>
      </c>
    </row>
    <row r="482" spans="1:3" x14ac:dyDescent="0.25">
      <c r="A482" t="s">
        <v>52</v>
      </c>
      <c r="B482">
        <v>221</v>
      </c>
    </row>
    <row r="483" spans="1:3" x14ac:dyDescent="0.25">
      <c r="B483" t="s">
        <v>53</v>
      </c>
      <c r="C483" s="36">
        <v>103</v>
      </c>
    </row>
    <row r="484" spans="1:3" x14ac:dyDescent="0.25">
      <c r="B484" t="s">
        <v>11</v>
      </c>
      <c r="C484" s="36">
        <v>54</v>
      </c>
    </row>
    <row r="485" spans="1:3" x14ac:dyDescent="0.25">
      <c r="B485" t="s">
        <v>25</v>
      </c>
      <c r="C485" s="36">
        <v>33</v>
      </c>
    </row>
    <row r="486" spans="1:3" x14ac:dyDescent="0.25">
      <c r="B486" t="s">
        <v>22</v>
      </c>
      <c r="C486" s="36">
        <v>22</v>
      </c>
    </row>
    <row r="487" spans="1:3" x14ac:dyDescent="0.25">
      <c r="B487" t="s">
        <v>32</v>
      </c>
      <c r="C487" s="36">
        <v>4</v>
      </c>
    </row>
    <row r="488" spans="1:3" x14ac:dyDescent="0.25">
      <c r="A488" t="s">
        <v>53</v>
      </c>
      <c r="B488">
        <v>221</v>
      </c>
    </row>
    <row r="489" spans="1:3" x14ac:dyDescent="0.25">
      <c r="B489" t="s">
        <v>13</v>
      </c>
      <c r="C489" s="36">
        <v>25</v>
      </c>
    </row>
    <row r="490" spans="1:3" x14ac:dyDescent="0.25">
      <c r="B490" t="s">
        <v>24</v>
      </c>
      <c r="C490" s="36">
        <v>21</v>
      </c>
    </row>
    <row r="491" spans="1:3" x14ac:dyDescent="0.25">
      <c r="B491" t="s">
        <v>9</v>
      </c>
      <c r="C491" s="36">
        <v>20</v>
      </c>
    </row>
    <row r="492" spans="1:3" x14ac:dyDescent="0.25">
      <c r="B492" t="s">
        <v>2</v>
      </c>
      <c r="C492" s="36">
        <v>19</v>
      </c>
    </row>
    <row r="493" spans="1:3" x14ac:dyDescent="0.25">
      <c r="B493" t="s">
        <v>3</v>
      </c>
      <c r="C493" s="36">
        <v>19</v>
      </c>
    </row>
    <row r="494" spans="1:3" x14ac:dyDescent="0.25">
      <c r="A494" t="s">
        <v>54</v>
      </c>
      <c r="B494">
        <v>216</v>
      </c>
    </row>
    <row r="495" spans="1:3" x14ac:dyDescent="0.25">
      <c r="B495" t="s">
        <v>10</v>
      </c>
      <c r="C495" s="36">
        <v>27</v>
      </c>
    </row>
    <row r="496" spans="1:3" x14ac:dyDescent="0.25">
      <c r="B496" t="s">
        <v>50</v>
      </c>
      <c r="C496" s="36">
        <v>19</v>
      </c>
    </row>
    <row r="497" spans="1:3" x14ac:dyDescent="0.25">
      <c r="B497" t="s">
        <v>34</v>
      </c>
      <c r="C497" s="36">
        <v>18</v>
      </c>
    </row>
    <row r="498" spans="1:3" x14ac:dyDescent="0.25">
      <c r="B498" t="s">
        <v>33</v>
      </c>
      <c r="C498" s="36">
        <v>18</v>
      </c>
    </row>
    <row r="499" spans="1:3" x14ac:dyDescent="0.25">
      <c r="B499" t="s">
        <v>58</v>
      </c>
      <c r="C499" s="36">
        <v>16</v>
      </c>
    </row>
    <row r="500" spans="1:3" x14ac:dyDescent="0.25">
      <c r="A500" t="s">
        <v>55</v>
      </c>
      <c r="B500">
        <v>214</v>
      </c>
    </row>
    <row r="501" spans="1:3" x14ac:dyDescent="0.25">
      <c r="B501" t="s">
        <v>3</v>
      </c>
      <c r="C501" s="36">
        <v>50</v>
      </c>
    </row>
    <row r="502" spans="1:3" x14ac:dyDescent="0.25">
      <c r="B502" t="s">
        <v>32</v>
      </c>
      <c r="C502" s="36">
        <v>50</v>
      </c>
    </row>
    <row r="503" spans="1:3" x14ac:dyDescent="0.25">
      <c r="B503" t="s">
        <v>82</v>
      </c>
      <c r="C503" s="36">
        <v>19</v>
      </c>
    </row>
    <row r="504" spans="1:3" x14ac:dyDescent="0.25">
      <c r="B504" t="s">
        <v>42</v>
      </c>
      <c r="C504" s="36">
        <v>16</v>
      </c>
    </row>
    <row r="505" spans="1:3" x14ac:dyDescent="0.25">
      <c r="B505" t="s">
        <v>45</v>
      </c>
      <c r="C505" s="36">
        <v>16</v>
      </c>
    </row>
    <row r="506" spans="1:3" x14ac:dyDescent="0.25">
      <c r="A506" t="s">
        <v>56</v>
      </c>
      <c r="B506">
        <v>212</v>
      </c>
    </row>
    <row r="507" spans="1:3" x14ac:dyDescent="0.25">
      <c r="B507" t="s">
        <v>11</v>
      </c>
      <c r="C507" s="36">
        <v>25</v>
      </c>
    </row>
    <row r="508" spans="1:3" x14ac:dyDescent="0.25">
      <c r="B508" t="s">
        <v>0</v>
      </c>
      <c r="C508" s="36">
        <v>19</v>
      </c>
    </row>
    <row r="509" spans="1:3" x14ac:dyDescent="0.25">
      <c r="B509" t="s">
        <v>31</v>
      </c>
      <c r="C509" s="36">
        <v>18</v>
      </c>
    </row>
    <row r="510" spans="1:3" x14ac:dyDescent="0.25">
      <c r="B510" t="s">
        <v>46</v>
      </c>
      <c r="C510" s="36">
        <v>17</v>
      </c>
    </row>
    <row r="511" spans="1:3" x14ac:dyDescent="0.25">
      <c r="B511" t="s">
        <v>3</v>
      </c>
      <c r="C511" s="36">
        <v>14</v>
      </c>
    </row>
    <row r="512" spans="1:3" x14ac:dyDescent="0.25">
      <c r="A512" t="s">
        <v>57</v>
      </c>
      <c r="B512">
        <v>211</v>
      </c>
    </row>
    <row r="513" spans="1:3" x14ac:dyDescent="0.25">
      <c r="B513" t="s">
        <v>66</v>
      </c>
      <c r="C513" s="36">
        <v>36</v>
      </c>
    </row>
    <row r="514" spans="1:3" x14ac:dyDescent="0.25">
      <c r="B514" t="s">
        <v>42</v>
      </c>
      <c r="C514" s="36">
        <v>36</v>
      </c>
    </row>
    <row r="515" spans="1:3" x14ac:dyDescent="0.25">
      <c r="B515" t="s">
        <v>0</v>
      </c>
      <c r="C515" s="36">
        <v>31</v>
      </c>
    </row>
    <row r="516" spans="1:3" x14ac:dyDescent="0.25">
      <c r="B516" t="s">
        <v>55</v>
      </c>
      <c r="C516" s="36">
        <v>14</v>
      </c>
    </row>
    <row r="517" spans="1:3" x14ac:dyDescent="0.25">
      <c r="B517" t="s">
        <v>8</v>
      </c>
      <c r="C517" s="36">
        <v>13</v>
      </c>
    </row>
    <row r="518" spans="1:3" x14ac:dyDescent="0.25">
      <c r="A518" t="s">
        <v>58</v>
      </c>
      <c r="B518">
        <v>183</v>
      </c>
    </row>
    <row r="519" spans="1:3" x14ac:dyDescent="0.25">
      <c r="B519" t="s">
        <v>33</v>
      </c>
      <c r="C519" s="36">
        <v>20</v>
      </c>
    </row>
    <row r="520" spans="1:3" x14ac:dyDescent="0.25">
      <c r="B520" t="s">
        <v>58</v>
      </c>
      <c r="C520" s="36">
        <v>20</v>
      </c>
    </row>
    <row r="521" spans="1:3" x14ac:dyDescent="0.25">
      <c r="B521" t="s">
        <v>59</v>
      </c>
      <c r="C521" s="36">
        <v>17</v>
      </c>
    </row>
    <row r="522" spans="1:3" x14ac:dyDescent="0.25">
      <c r="B522" t="s">
        <v>43</v>
      </c>
      <c r="C522" s="36">
        <v>16</v>
      </c>
    </row>
    <row r="523" spans="1:3" x14ac:dyDescent="0.25">
      <c r="B523" t="s">
        <v>36</v>
      </c>
      <c r="C523" s="36">
        <v>13</v>
      </c>
    </row>
    <row r="524" spans="1:3" x14ac:dyDescent="0.25">
      <c r="A524" t="s">
        <v>59</v>
      </c>
      <c r="B524">
        <v>176</v>
      </c>
    </row>
    <row r="525" spans="1:3" x14ac:dyDescent="0.25">
      <c r="B525" t="s">
        <v>59</v>
      </c>
      <c r="C525" s="36">
        <v>18</v>
      </c>
    </row>
    <row r="526" spans="1:3" x14ac:dyDescent="0.25">
      <c r="B526" t="s">
        <v>50</v>
      </c>
      <c r="C526" s="36">
        <v>18</v>
      </c>
    </row>
    <row r="527" spans="1:3" x14ac:dyDescent="0.25">
      <c r="B527" t="s">
        <v>44</v>
      </c>
      <c r="C527" s="36">
        <v>16</v>
      </c>
    </row>
    <row r="528" spans="1:3" x14ac:dyDescent="0.25">
      <c r="B528" t="s">
        <v>62</v>
      </c>
      <c r="C528" s="36">
        <v>16</v>
      </c>
    </row>
    <row r="529" spans="1:3" x14ac:dyDescent="0.25">
      <c r="B529" t="s">
        <v>33</v>
      </c>
      <c r="C529" s="36">
        <v>13</v>
      </c>
    </row>
    <row r="530" spans="1:3" x14ac:dyDescent="0.25">
      <c r="A530" t="s">
        <v>60</v>
      </c>
      <c r="B530">
        <v>165</v>
      </c>
    </row>
    <row r="531" spans="1:3" x14ac:dyDescent="0.25">
      <c r="B531" t="s">
        <v>25</v>
      </c>
      <c r="C531" s="36">
        <v>40</v>
      </c>
    </row>
    <row r="532" spans="1:3" x14ac:dyDescent="0.25">
      <c r="B532" t="s">
        <v>38</v>
      </c>
      <c r="C532" s="36">
        <v>16</v>
      </c>
    </row>
    <row r="533" spans="1:3" x14ac:dyDescent="0.25">
      <c r="B533" t="s">
        <v>41</v>
      </c>
      <c r="C533" s="36">
        <v>16</v>
      </c>
    </row>
    <row r="534" spans="1:3" x14ac:dyDescent="0.25">
      <c r="B534" t="s">
        <v>60</v>
      </c>
      <c r="C534" s="36">
        <v>16</v>
      </c>
    </row>
    <row r="535" spans="1:3" x14ac:dyDescent="0.25">
      <c r="B535" t="s">
        <v>42</v>
      </c>
      <c r="C535" s="36">
        <v>14</v>
      </c>
    </row>
    <row r="536" spans="1:3" x14ac:dyDescent="0.25">
      <c r="A536" t="s">
        <v>61</v>
      </c>
      <c r="B536">
        <v>146</v>
      </c>
    </row>
    <row r="537" spans="1:3" x14ac:dyDescent="0.25">
      <c r="B537" t="s">
        <v>0</v>
      </c>
      <c r="C537" s="36">
        <v>53</v>
      </c>
    </row>
    <row r="538" spans="1:3" x14ac:dyDescent="0.25">
      <c r="B538" t="s">
        <v>57</v>
      </c>
      <c r="C538" s="36">
        <v>19</v>
      </c>
    </row>
    <row r="539" spans="1:3" x14ac:dyDescent="0.25">
      <c r="B539" t="s">
        <v>41</v>
      </c>
      <c r="C539" s="36">
        <v>18</v>
      </c>
    </row>
    <row r="540" spans="1:3" x14ac:dyDescent="0.25">
      <c r="B540" t="s">
        <v>25</v>
      </c>
      <c r="C540" s="36">
        <v>12</v>
      </c>
    </row>
    <row r="541" spans="1:3" x14ac:dyDescent="0.25">
      <c r="B541" t="s">
        <v>17</v>
      </c>
      <c r="C541" s="36">
        <v>9</v>
      </c>
    </row>
    <row r="542" spans="1:3" x14ac:dyDescent="0.25">
      <c r="A542" t="s">
        <v>62</v>
      </c>
      <c r="B542">
        <v>142</v>
      </c>
    </row>
    <row r="543" spans="1:3" x14ac:dyDescent="0.25">
      <c r="B543" t="s">
        <v>59</v>
      </c>
      <c r="C543" s="36">
        <v>21</v>
      </c>
    </row>
    <row r="544" spans="1:3" x14ac:dyDescent="0.25">
      <c r="B544" t="s">
        <v>33</v>
      </c>
      <c r="C544" s="36">
        <v>16</v>
      </c>
    </row>
    <row r="545" spans="1:3" x14ac:dyDescent="0.25">
      <c r="B545" t="s">
        <v>44</v>
      </c>
      <c r="C545" s="36">
        <v>14</v>
      </c>
    </row>
    <row r="546" spans="1:3" x14ac:dyDescent="0.25">
      <c r="B546" t="s">
        <v>70</v>
      </c>
      <c r="C546" s="36">
        <v>12</v>
      </c>
    </row>
    <row r="547" spans="1:3" x14ac:dyDescent="0.25">
      <c r="B547" t="s">
        <v>62</v>
      </c>
      <c r="C547" s="36">
        <v>12</v>
      </c>
    </row>
    <row r="548" spans="1:3" x14ac:dyDescent="0.25">
      <c r="A548" t="s">
        <v>63</v>
      </c>
      <c r="B548">
        <v>134</v>
      </c>
    </row>
    <row r="549" spans="1:3" x14ac:dyDescent="0.25">
      <c r="B549" t="s">
        <v>0</v>
      </c>
      <c r="C549" s="36">
        <v>47</v>
      </c>
    </row>
    <row r="550" spans="1:3" x14ac:dyDescent="0.25">
      <c r="B550" t="s">
        <v>8</v>
      </c>
      <c r="C550" s="36">
        <v>35</v>
      </c>
    </row>
    <row r="551" spans="1:3" x14ac:dyDescent="0.25">
      <c r="B551" t="s">
        <v>10</v>
      </c>
      <c r="C551" s="36">
        <v>26</v>
      </c>
    </row>
    <row r="552" spans="1:3" x14ac:dyDescent="0.25">
      <c r="B552" t="s">
        <v>18</v>
      </c>
      <c r="C552" s="36">
        <v>6</v>
      </c>
    </row>
    <row r="553" spans="1:3" x14ac:dyDescent="0.25">
      <c r="B553" t="s">
        <v>24</v>
      </c>
      <c r="C553" s="36">
        <v>4</v>
      </c>
    </row>
    <row r="554" spans="1:3" x14ac:dyDescent="0.25">
      <c r="A554" t="s">
        <v>64</v>
      </c>
      <c r="B554">
        <v>122</v>
      </c>
    </row>
    <row r="555" spans="1:3" x14ac:dyDescent="0.25">
      <c r="B555" t="s">
        <v>18</v>
      </c>
      <c r="C555" s="36">
        <v>33</v>
      </c>
    </row>
    <row r="556" spans="1:3" x14ac:dyDescent="0.25">
      <c r="B556" t="s">
        <v>64</v>
      </c>
      <c r="C556" s="36">
        <v>24</v>
      </c>
    </row>
    <row r="557" spans="1:3" x14ac:dyDescent="0.25">
      <c r="B557" t="s">
        <v>11</v>
      </c>
      <c r="C557" s="36">
        <v>17</v>
      </c>
    </row>
    <row r="558" spans="1:3" x14ac:dyDescent="0.25">
      <c r="B558" t="s">
        <v>76</v>
      </c>
      <c r="C558" s="36">
        <v>12</v>
      </c>
    </row>
    <row r="559" spans="1:3" x14ac:dyDescent="0.25">
      <c r="B559" t="s">
        <v>25</v>
      </c>
      <c r="C559" s="36">
        <v>12</v>
      </c>
    </row>
    <row r="560" spans="1:3" x14ac:dyDescent="0.25">
      <c r="A560" t="s">
        <v>65</v>
      </c>
      <c r="B560">
        <v>118</v>
      </c>
    </row>
    <row r="561" spans="1:3" x14ac:dyDescent="0.25">
      <c r="B561" t="s">
        <v>5</v>
      </c>
      <c r="C561" s="36">
        <v>91</v>
      </c>
    </row>
    <row r="562" spans="1:3" x14ac:dyDescent="0.25">
      <c r="B562" t="s">
        <v>51</v>
      </c>
      <c r="C562" s="36">
        <v>13</v>
      </c>
    </row>
    <row r="563" spans="1:3" x14ac:dyDescent="0.25">
      <c r="B563" t="s">
        <v>4</v>
      </c>
      <c r="C563" s="36">
        <v>4</v>
      </c>
    </row>
    <row r="564" spans="1:3" x14ac:dyDescent="0.25">
      <c r="B564" t="s">
        <v>0</v>
      </c>
      <c r="C564" s="36">
        <v>2</v>
      </c>
    </row>
    <row r="565" spans="1:3" x14ac:dyDescent="0.25">
      <c r="B565" t="s">
        <v>41</v>
      </c>
      <c r="C565" s="36">
        <v>2</v>
      </c>
    </row>
    <row r="566" spans="1:3" x14ac:dyDescent="0.25">
      <c r="A566" t="s">
        <v>66</v>
      </c>
      <c r="B566">
        <v>108</v>
      </c>
    </row>
    <row r="567" spans="1:3" x14ac:dyDescent="0.25">
      <c r="B567" t="s">
        <v>51</v>
      </c>
      <c r="C567" s="36">
        <v>38</v>
      </c>
    </row>
    <row r="568" spans="1:3" x14ac:dyDescent="0.25">
      <c r="B568" t="s">
        <v>8</v>
      </c>
      <c r="C568" s="36">
        <v>25</v>
      </c>
    </row>
    <row r="569" spans="1:3" x14ac:dyDescent="0.25">
      <c r="B569" t="s">
        <v>5</v>
      </c>
      <c r="C569" s="36">
        <v>17</v>
      </c>
    </row>
    <row r="570" spans="1:3" x14ac:dyDescent="0.25">
      <c r="B570" t="s">
        <v>42</v>
      </c>
      <c r="C570" s="36">
        <v>10</v>
      </c>
    </row>
    <row r="571" spans="1:3" x14ac:dyDescent="0.25">
      <c r="B571" t="s">
        <v>4</v>
      </c>
      <c r="C571" s="36">
        <v>5</v>
      </c>
    </row>
    <row r="572" spans="1:3" x14ac:dyDescent="0.25">
      <c r="A572" t="s">
        <v>67</v>
      </c>
      <c r="B572">
        <v>105</v>
      </c>
    </row>
    <row r="573" spans="1:3" x14ac:dyDescent="0.25">
      <c r="B573" t="s">
        <v>5</v>
      </c>
      <c r="C573" s="36">
        <v>38</v>
      </c>
    </row>
    <row r="574" spans="1:3" x14ac:dyDescent="0.25">
      <c r="B574" t="s">
        <v>3</v>
      </c>
      <c r="C574" s="36">
        <v>8</v>
      </c>
    </row>
    <row r="575" spans="1:3" x14ac:dyDescent="0.25">
      <c r="B575" t="s">
        <v>57</v>
      </c>
      <c r="C575" s="36">
        <v>8</v>
      </c>
    </row>
    <row r="576" spans="1:3" x14ac:dyDescent="0.25">
      <c r="B576" t="s">
        <v>25</v>
      </c>
      <c r="C576" s="36">
        <v>8</v>
      </c>
    </row>
    <row r="577" spans="1:3" x14ac:dyDescent="0.25">
      <c r="B577" t="s">
        <v>51</v>
      </c>
      <c r="C577" s="36">
        <v>6</v>
      </c>
    </row>
    <row r="578" spans="1:3" x14ac:dyDescent="0.25">
      <c r="A578" t="s">
        <v>68</v>
      </c>
      <c r="B578">
        <v>104</v>
      </c>
    </row>
    <row r="579" spans="1:3" x14ac:dyDescent="0.25">
      <c r="B579" t="s">
        <v>5</v>
      </c>
      <c r="C579" s="36">
        <v>28</v>
      </c>
    </row>
    <row r="580" spans="1:3" x14ac:dyDescent="0.25">
      <c r="B580" t="s">
        <v>0</v>
      </c>
      <c r="C580" s="36">
        <v>20</v>
      </c>
    </row>
    <row r="581" spans="1:3" x14ac:dyDescent="0.25">
      <c r="B581" t="s">
        <v>8</v>
      </c>
      <c r="C581" s="36">
        <v>12</v>
      </c>
    </row>
    <row r="582" spans="1:3" x14ac:dyDescent="0.25">
      <c r="B582" t="s">
        <v>4</v>
      </c>
      <c r="C582" s="36">
        <v>8</v>
      </c>
    </row>
    <row r="583" spans="1:3" x14ac:dyDescent="0.25">
      <c r="B583" t="s">
        <v>25</v>
      </c>
      <c r="C583" s="36">
        <v>8</v>
      </c>
    </row>
    <row r="584" spans="1:3" x14ac:dyDescent="0.25">
      <c r="A584" t="s">
        <v>69</v>
      </c>
      <c r="B584">
        <v>98</v>
      </c>
    </row>
    <row r="585" spans="1:3" x14ac:dyDescent="0.25">
      <c r="B585" t="s">
        <v>25</v>
      </c>
      <c r="C585" s="36">
        <v>20</v>
      </c>
    </row>
    <row r="586" spans="1:3" x14ac:dyDescent="0.25">
      <c r="B586" t="s">
        <v>42</v>
      </c>
      <c r="C586" s="36">
        <v>19</v>
      </c>
    </row>
    <row r="587" spans="1:3" x14ac:dyDescent="0.25">
      <c r="B587" t="s">
        <v>74</v>
      </c>
      <c r="C587" s="36">
        <v>8</v>
      </c>
    </row>
    <row r="588" spans="1:3" x14ac:dyDescent="0.25">
      <c r="B588" t="s">
        <v>60</v>
      </c>
      <c r="C588" s="36">
        <v>8</v>
      </c>
    </row>
    <row r="589" spans="1:3" x14ac:dyDescent="0.25">
      <c r="B589" t="s">
        <v>69</v>
      </c>
      <c r="C589" s="36">
        <v>8</v>
      </c>
    </row>
    <row r="590" spans="1:3" x14ac:dyDescent="0.25">
      <c r="A590" t="s">
        <v>70</v>
      </c>
      <c r="B590">
        <v>95</v>
      </c>
    </row>
    <row r="591" spans="1:3" x14ac:dyDescent="0.25">
      <c r="B591" t="s">
        <v>59</v>
      </c>
      <c r="C591" s="36">
        <v>13</v>
      </c>
    </row>
    <row r="592" spans="1:3" x14ac:dyDescent="0.25">
      <c r="B592" t="s">
        <v>50</v>
      </c>
      <c r="C592" s="36">
        <v>11</v>
      </c>
    </row>
    <row r="593" spans="1:3" x14ac:dyDescent="0.25">
      <c r="B593" t="s">
        <v>54</v>
      </c>
      <c r="C593" s="36">
        <v>10</v>
      </c>
    </row>
    <row r="594" spans="1:3" x14ac:dyDescent="0.25">
      <c r="B594" t="s">
        <v>58</v>
      </c>
      <c r="C594" s="36">
        <v>8</v>
      </c>
    </row>
    <row r="595" spans="1:3" x14ac:dyDescent="0.25">
      <c r="B595" t="s">
        <v>43</v>
      </c>
      <c r="C595" s="36">
        <v>7</v>
      </c>
    </row>
    <row r="596" spans="1:3" x14ac:dyDescent="0.25">
      <c r="A596" t="s">
        <v>71</v>
      </c>
      <c r="B596">
        <v>95</v>
      </c>
    </row>
    <row r="597" spans="1:3" x14ac:dyDescent="0.25">
      <c r="B597" t="s">
        <v>14</v>
      </c>
      <c r="C597" s="36">
        <v>16</v>
      </c>
    </row>
    <row r="598" spans="1:3" x14ac:dyDescent="0.25">
      <c r="B598" t="s">
        <v>49</v>
      </c>
      <c r="C598" s="36">
        <v>13</v>
      </c>
    </row>
    <row r="599" spans="1:3" x14ac:dyDescent="0.25">
      <c r="B599" t="s">
        <v>42</v>
      </c>
      <c r="C599" s="36">
        <v>10</v>
      </c>
    </row>
    <row r="600" spans="1:3" x14ac:dyDescent="0.25">
      <c r="B600" t="s">
        <v>22</v>
      </c>
      <c r="C600" s="36">
        <v>10</v>
      </c>
    </row>
    <row r="601" spans="1:3" x14ac:dyDescent="0.25">
      <c r="B601" t="s">
        <v>39</v>
      </c>
      <c r="C601" s="36">
        <v>5</v>
      </c>
    </row>
    <row r="602" spans="1:3" x14ac:dyDescent="0.25">
      <c r="A602" t="s">
        <v>72</v>
      </c>
      <c r="B602">
        <v>89</v>
      </c>
    </row>
    <row r="603" spans="1:3" x14ac:dyDescent="0.25">
      <c r="B603" t="s">
        <v>19</v>
      </c>
      <c r="C603" s="36">
        <v>21</v>
      </c>
    </row>
    <row r="604" spans="1:3" x14ac:dyDescent="0.25">
      <c r="B604" t="s">
        <v>9</v>
      </c>
      <c r="C604" s="36">
        <v>19</v>
      </c>
    </row>
    <row r="605" spans="1:3" x14ac:dyDescent="0.25">
      <c r="B605" t="s">
        <v>11</v>
      </c>
      <c r="C605" s="36">
        <v>8</v>
      </c>
    </row>
    <row r="606" spans="1:3" x14ac:dyDescent="0.25">
      <c r="B606" t="s">
        <v>14</v>
      </c>
      <c r="C606" s="36">
        <v>6</v>
      </c>
    </row>
    <row r="607" spans="1:3" x14ac:dyDescent="0.25">
      <c r="B607" t="s">
        <v>25</v>
      </c>
      <c r="C607" s="36">
        <v>6</v>
      </c>
    </row>
    <row r="608" spans="1:3" x14ac:dyDescent="0.25">
      <c r="A608" t="s">
        <v>73</v>
      </c>
      <c r="B608">
        <v>89</v>
      </c>
    </row>
    <row r="609" spans="1:3" x14ac:dyDescent="0.25">
      <c r="B609" t="s">
        <v>5</v>
      </c>
      <c r="C609" s="36">
        <v>21</v>
      </c>
    </row>
    <row r="610" spans="1:3" x14ac:dyDescent="0.25">
      <c r="B610" t="s">
        <v>4</v>
      </c>
      <c r="C610" s="36">
        <v>15</v>
      </c>
    </row>
    <row r="611" spans="1:3" x14ac:dyDescent="0.25">
      <c r="B611" t="s">
        <v>51</v>
      </c>
      <c r="C611" s="36">
        <v>7</v>
      </c>
    </row>
    <row r="612" spans="1:3" x14ac:dyDescent="0.25">
      <c r="B612" t="s">
        <v>61</v>
      </c>
      <c r="C612" s="36">
        <v>7</v>
      </c>
    </row>
    <row r="613" spans="1:3" x14ac:dyDescent="0.25">
      <c r="B613" t="s">
        <v>81</v>
      </c>
      <c r="C613" s="36">
        <v>6</v>
      </c>
    </row>
    <row r="614" spans="1:3" x14ac:dyDescent="0.25">
      <c r="A614" t="s">
        <v>74</v>
      </c>
      <c r="B614">
        <v>86</v>
      </c>
    </row>
    <row r="615" spans="1:3" x14ac:dyDescent="0.25">
      <c r="B615" t="s">
        <v>4</v>
      </c>
      <c r="C615" s="36">
        <v>19</v>
      </c>
    </row>
    <row r="616" spans="1:3" x14ac:dyDescent="0.25">
      <c r="B616" t="s">
        <v>25</v>
      </c>
      <c r="C616" s="36">
        <v>12</v>
      </c>
    </row>
    <row r="617" spans="1:3" x14ac:dyDescent="0.25">
      <c r="B617" t="s">
        <v>11</v>
      </c>
      <c r="C617" s="36">
        <v>9</v>
      </c>
    </row>
    <row r="618" spans="1:3" x14ac:dyDescent="0.25">
      <c r="B618" t="s">
        <v>0</v>
      </c>
      <c r="C618" s="36">
        <v>8</v>
      </c>
    </row>
    <row r="619" spans="1:3" x14ac:dyDescent="0.25">
      <c r="B619" t="s">
        <v>74</v>
      </c>
      <c r="C619" s="36">
        <v>8</v>
      </c>
    </row>
    <row r="620" spans="1:3" x14ac:dyDescent="0.25">
      <c r="A620" t="s">
        <v>75</v>
      </c>
      <c r="B620">
        <v>68</v>
      </c>
    </row>
    <row r="621" spans="1:3" x14ac:dyDescent="0.25">
      <c r="B621" t="s">
        <v>18</v>
      </c>
      <c r="C621" s="36">
        <v>64</v>
      </c>
    </row>
    <row r="622" spans="1:3" x14ac:dyDescent="0.25">
      <c r="B622" t="s">
        <v>56</v>
      </c>
      <c r="C622" s="36">
        <v>4</v>
      </c>
    </row>
    <row r="623" spans="1:3" x14ac:dyDescent="0.25">
      <c r="A623" t="s">
        <v>76</v>
      </c>
      <c r="B623">
        <v>61</v>
      </c>
    </row>
    <row r="624" spans="1:3" x14ac:dyDescent="0.25">
      <c r="B624" t="s">
        <v>64</v>
      </c>
      <c r="C624" s="36">
        <v>12</v>
      </c>
    </row>
    <row r="625" spans="1:3" x14ac:dyDescent="0.25">
      <c r="B625" t="s">
        <v>56</v>
      </c>
      <c r="C625" s="36">
        <v>11</v>
      </c>
    </row>
    <row r="626" spans="1:3" x14ac:dyDescent="0.25">
      <c r="B626" t="s">
        <v>1</v>
      </c>
      <c r="C626" s="36">
        <v>10</v>
      </c>
    </row>
    <row r="627" spans="1:3" x14ac:dyDescent="0.25">
      <c r="B627" t="s">
        <v>18</v>
      </c>
      <c r="C627" s="36">
        <v>8</v>
      </c>
    </row>
    <row r="628" spans="1:3" x14ac:dyDescent="0.25">
      <c r="B628" t="s">
        <v>14</v>
      </c>
      <c r="C628" s="36">
        <v>3</v>
      </c>
    </row>
    <row r="629" spans="1:3" x14ac:dyDescent="0.25">
      <c r="A629" t="s">
        <v>77</v>
      </c>
      <c r="B629">
        <v>59</v>
      </c>
    </row>
    <row r="630" spans="1:3" x14ac:dyDescent="0.25">
      <c r="B630" t="s">
        <v>41</v>
      </c>
      <c r="C630" s="36">
        <v>19</v>
      </c>
    </row>
    <row r="631" spans="1:3" x14ac:dyDescent="0.25">
      <c r="B631" t="s">
        <v>5</v>
      </c>
      <c r="C631" s="36">
        <v>9</v>
      </c>
    </row>
    <row r="632" spans="1:3" x14ac:dyDescent="0.25">
      <c r="B632" t="s">
        <v>11</v>
      </c>
      <c r="C632" s="36">
        <v>8</v>
      </c>
    </row>
    <row r="633" spans="1:3" x14ac:dyDescent="0.25">
      <c r="B633" t="s">
        <v>25</v>
      </c>
      <c r="C633" s="36">
        <v>8</v>
      </c>
    </row>
    <row r="634" spans="1:3" x14ac:dyDescent="0.25">
      <c r="B634" t="s">
        <v>0</v>
      </c>
      <c r="C634" s="36">
        <v>6</v>
      </c>
    </row>
    <row r="635" spans="1:3" x14ac:dyDescent="0.25">
      <c r="A635" t="s">
        <v>78</v>
      </c>
      <c r="B635">
        <v>54</v>
      </c>
    </row>
    <row r="636" spans="1:3" x14ac:dyDescent="0.25">
      <c r="B636" t="s">
        <v>11</v>
      </c>
      <c r="C636" s="36">
        <v>49</v>
      </c>
    </row>
    <row r="637" spans="1:3" x14ac:dyDescent="0.25">
      <c r="B637" t="s">
        <v>6</v>
      </c>
      <c r="C637" s="36">
        <v>1</v>
      </c>
    </row>
    <row r="638" spans="1:3" x14ac:dyDescent="0.25">
      <c r="B638" t="s">
        <v>4</v>
      </c>
      <c r="C638" s="36">
        <v>1</v>
      </c>
    </row>
    <row r="639" spans="1:3" x14ac:dyDescent="0.25">
      <c r="B639" t="s">
        <v>48</v>
      </c>
      <c r="C639" s="36">
        <v>1</v>
      </c>
    </row>
    <row r="640" spans="1:3" x14ac:dyDescent="0.25">
      <c r="B640" t="s">
        <v>13</v>
      </c>
      <c r="C640" s="36">
        <v>1</v>
      </c>
    </row>
    <row r="641" spans="1:3" x14ac:dyDescent="0.25">
      <c r="A641" t="s">
        <v>79</v>
      </c>
      <c r="B641">
        <v>47</v>
      </c>
    </row>
    <row r="642" spans="1:3" x14ac:dyDescent="0.25">
      <c r="B642" t="s">
        <v>3</v>
      </c>
      <c r="C642" s="36">
        <v>23</v>
      </c>
    </row>
    <row r="643" spans="1:3" x14ac:dyDescent="0.25">
      <c r="B643" t="s">
        <v>4</v>
      </c>
      <c r="C643" s="36">
        <v>11</v>
      </c>
    </row>
    <row r="644" spans="1:3" x14ac:dyDescent="0.25">
      <c r="B644" t="s">
        <v>51</v>
      </c>
      <c r="C644" s="36">
        <v>4</v>
      </c>
    </row>
    <row r="645" spans="1:3" x14ac:dyDescent="0.25">
      <c r="B645" t="s">
        <v>41</v>
      </c>
      <c r="C645" s="36">
        <v>2</v>
      </c>
    </row>
    <row r="646" spans="1:3" x14ac:dyDescent="0.25">
      <c r="B646" t="s">
        <v>66</v>
      </c>
      <c r="C646" s="36">
        <v>2</v>
      </c>
    </row>
    <row r="647" spans="1:3" x14ac:dyDescent="0.25">
      <c r="A647" t="s">
        <v>80</v>
      </c>
      <c r="B647">
        <v>41</v>
      </c>
    </row>
    <row r="648" spans="1:3" x14ac:dyDescent="0.25">
      <c r="B648" t="s">
        <v>11</v>
      </c>
      <c r="C648" s="36">
        <v>22</v>
      </c>
    </row>
    <row r="649" spans="1:3" x14ac:dyDescent="0.25">
      <c r="B649" t="s">
        <v>15</v>
      </c>
      <c r="C649" s="36">
        <v>12</v>
      </c>
    </row>
    <row r="650" spans="1:3" x14ac:dyDescent="0.25">
      <c r="B650" t="s">
        <v>46</v>
      </c>
      <c r="C650" s="36">
        <v>3</v>
      </c>
    </row>
    <row r="651" spans="1:3" x14ac:dyDescent="0.25">
      <c r="B651" t="s">
        <v>23</v>
      </c>
      <c r="C651" s="36">
        <v>2</v>
      </c>
    </row>
    <row r="652" spans="1:3" x14ac:dyDescent="0.25">
      <c r="B652" t="s">
        <v>1</v>
      </c>
      <c r="C652" s="36">
        <v>1</v>
      </c>
    </row>
    <row r="653" spans="1:3" x14ac:dyDescent="0.25">
      <c r="A653" t="s">
        <v>81</v>
      </c>
      <c r="B653">
        <v>33</v>
      </c>
    </row>
    <row r="654" spans="1:3" x14ac:dyDescent="0.25">
      <c r="B654" t="s">
        <v>0</v>
      </c>
      <c r="C654" s="36">
        <v>9</v>
      </c>
    </row>
    <row r="655" spans="1:3" x14ac:dyDescent="0.25">
      <c r="B655" t="s">
        <v>74</v>
      </c>
      <c r="C655" s="36">
        <v>6</v>
      </c>
    </row>
    <row r="656" spans="1:3" x14ac:dyDescent="0.25">
      <c r="B656" t="s">
        <v>69</v>
      </c>
      <c r="C656" s="36">
        <v>5</v>
      </c>
    </row>
    <row r="657" spans="1:3" x14ac:dyDescent="0.25">
      <c r="B657" t="s">
        <v>68</v>
      </c>
      <c r="C657" s="36">
        <v>5</v>
      </c>
    </row>
    <row r="658" spans="1:3" x14ac:dyDescent="0.25">
      <c r="B658" t="s">
        <v>25</v>
      </c>
      <c r="C658" s="36">
        <v>4</v>
      </c>
    </row>
    <row r="659" spans="1:3" x14ac:dyDescent="0.25">
      <c r="A659" t="s">
        <v>82</v>
      </c>
      <c r="B659">
        <v>26</v>
      </c>
    </row>
    <row r="660" spans="1:3" x14ac:dyDescent="0.25">
      <c r="B660" t="s">
        <v>42</v>
      </c>
      <c r="C660" s="36">
        <v>18</v>
      </c>
    </row>
    <row r="661" spans="1:3" x14ac:dyDescent="0.25">
      <c r="B661" t="s">
        <v>11</v>
      </c>
      <c r="C661" s="36">
        <v>4</v>
      </c>
    </row>
    <row r="662" spans="1:3" x14ac:dyDescent="0.25">
      <c r="B662" t="s">
        <v>51</v>
      </c>
      <c r="C662" s="36">
        <v>1</v>
      </c>
    </row>
    <row r="663" spans="1:3" x14ac:dyDescent="0.25">
      <c r="B663" t="s">
        <v>82</v>
      </c>
      <c r="C663" s="36">
        <v>1</v>
      </c>
    </row>
    <row r="664" spans="1:3" x14ac:dyDescent="0.25">
      <c r="B664" t="s">
        <v>15</v>
      </c>
      <c r="C664" s="36">
        <v>1</v>
      </c>
    </row>
    <row r="665" spans="1:3" x14ac:dyDescent="0.25">
      <c r="A665" t="s">
        <v>83</v>
      </c>
      <c r="B665">
        <v>20</v>
      </c>
    </row>
    <row r="666" spans="1:3" x14ac:dyDescent="0.25">
      <c r="B666" t="s">
        <v>11</v>
      </c>
      <c r="C666" s="36">
        <v>4</v>
      </c>
    </row>
    <row r="667" spans="1:3" x14ac:dyDescent="0.25">
      <c r="B667" t="s">
        <v>25</v>
      </c>
      <c r="C667" s="36">
        <v>4</v>
      </c>
    </row>
    <row r="668" spans="1:3" x14ac:dyDescent="0.25">
      <c r="B668" t="s">
        <v>39</v>
      </c>
      <c r="C668" s="36">
        <v>3</v>
      </c>
    </row>
    <row r="669" spans="1:3" x14ac:dyDescent="0.25">
      <c r="B669" t="s">
        <v>4</v>
      </c>
      <c r="C669" s="36">
        <v>2</v>
      </c>
    </row>
    <row r="670" spans="1:3" x14ac:dyDescent="0.25">
      <c r="B670" t="s">
        <v>8</v>
      </c>
      <c r="C670" s="36">
        <v>2</v>
      </c>
    </row>
    <row r="671" spans="1:3" x14ac:dyDescent="0.25">
      <c r="A671" t="s">
        <v>84</v>
      </c>
      <c r="B671">
        <v>18</v>
      </c>
    </row>
    <row r="672" spans="1:3" x14ac:dyDescent="0.25">
      <c r="B672" t="s">
        <v>17</v>
      </c>
      <c r="C672" s="36">
        <v>8</v>
      </c>
    </row>
    <row r="673" spans="1:3" x14ac:dyDescent="0.25">
      <c r="B673" t="s">
        <v>25</v>
      </c>
      <c r="C673" s="36">
        <v>4</v>
      </c>
    </row>
    <row r="674" spans="1:3" x14ac:dyDescent="0.25">
      <c r="B674" t="s">
        <v>33</v>
      </c>
      <c r="C674" s="36">
        <v>2</v>
      </c>
    </row>
    <row r="675" spans="1:3" x14ac:dyDescent="0.25">
      <c r="B675" t="s">
        <v>36</v>
      </c>
      <c r="C675" s="36">
        <v>2</v>
      </c>
    </row>
    <row r="676" spans="1:3" x14ac:dyDescent="0.25">
      <c r="B676" t="s">
        <v>44</v>
      </c>
      <c r="C676" s="36">
        <v>2</v>
      </c>
    </row>
    <row r="677" spans="1:3" x14ac:dyDescent="0.25">
      <c r="A677" t="s">
        <v>85</v>
      </c>
      <c r="B677">
        <v>14</v>
      </c>
    </row>
    <row r="678" spans="1:3" x14ac:dyDescent="0.25">
      <c r="B678" t="s">
        <v>24</v>
      </c>
      <c r="C678" s="36">
        <v>5</v>
      </c>
    </row>
    <row r="679" spans="1:3" x14ac:dyDescent="0.25">
      <c r="B679" t="s">
        <v>8</v>
      </c>
      <c r="C679" s="36">
        <v>4</v>
      </c>
    </row>
    <row r="680" spans="1:3" x14ac:dyDescent="0.25">
      <c r="B680" t="s">
        <v>0</v>
      </c>
      <c r="C680" s="36">
        <v>2</v>
      </c>
    </row>
    <row r="681" spans="1:3" x14ac:dyDescent="0.25">
      <c r="B681" t="s">
        <v>18</v>
      </c>
      <c r="C681" s="36">
        <v>1</v>
      </c>
    </row>
    <row r="682" spans="1:3" x14ac:dyDescent="0.25">
      <c r="B682" t="s">
        <v>19</v>
      </c>
      <c r="C682" s="36">
        <v>1</v>
      </c>
    </row>
    <row r="683" spans="1:3" x14ac:dyDescent="0.25">
      <c r="A683" t="s">
        <v>86</v>
      </c>
      <c r="B683">
        <v>9</v>
      </c>
    </row>
    <row r="684" spans="1:3" x14ac:dyDescent="0.25">
      <c r="B684" t="s">
        <v>56</v>
      </c>
      <c r="C684" s="36">
        <v>9</v>
      </c>
    </row>
    <row r="685" spans="1:3" x14ac:dyDescent="0.25">
      <c r="A685" t="s">
        <v>87</v>
      </c>
      <c r="B685">
        <v>5</v>
      </c>
    </row>
    <row r="686" spans="1:3" x14ac:dyDescent="0.25">
      <c r="B686" t="s">
        <v>11</v>
      </c>
      <c r="C686" s="36">
        <v>2</v>
      </c>
    </row>
    <row r="687" spans="1:3" x14ac:dyDescent="0.25">
      <c r="B687" t="s">
        <v>32</v>
      </c>
      <c r="C687" s="36">
        <v>1</v>
      </c>
    </row>
    <row r="688" spans="1:3" x14ac:dyDescent="0.25">
      <c r="B688" t="s">
        <v>30</v>
      </c>
      <c r="C688" s="36">
        <v>1</v>
      </c>
    </row>
    <row r="689" spans="1:3" x14ac:dyDescent="0.25">
      <c r="B689" t="s">
        <v>17</v>
      </c>
      <c r="C689" s="36">
        <v>1</v>
      </c>
    </row>
    <row r="690" spans="1:3" x14ac:dyDescent="0.25">
      <c r="A690" t="s">
        <v>88</v>
      </c>
      <c r="B690">
        <v>4</v>
      </c>
    </row>
    <row r="691" spans="1:3" x14ac:dyDescent="0.25">
      <c r="B691" t="s">
        <v>57</v>
      </c>
      <c r="C691" s="36">
        <v>2</v>
      </c>
    </row>
    <row r="692" spans="1:3" x14ac:dyDescent="0.25">
      <c r="B692" t="s">
        <v>71</v>
      </c>
      <c r="C692" s="36">
        <v>1</v>
      </c>
    </row>
    <row r="693" spans="1:3" x14ac:dyDescent="0.25">
      <c r="B693" t="s">
        <v>11</v>
      </c>
      <c r="C693" s="36">
        <v>1</v>
      </c>
    </row>
    <row r="694" spans="1:3" x14ac:dyDescent="0.25">
      <c r="A694" t="s">
        <v>89</v>
      </c>
      <c r="B694">
        <v>3</v>
      </c>
    </row>
    <row r="695" spans="1:3" x14ac:dyDescent="0.25">
      <c r="B695" t="s">
        <v>11</v>
      </c>
      <c r="C695" s="36">
        <v>2</v>
      </c>
    </row>
    <row r="696" spans="1:3" x14ac:dyDescent="0.25">
      <c r="B696" t="s">
        <v>2</v>
      </c>
      <c r="C696" s="36">
        <v>1</v>
      </c>
    </row>
    <row r="697" spans="1:3" x14ac:dyDescent="0.25">
      <c r="A697" t="s">
        <v>90</v>
      </c>
      <c r="B697">
        <v>2</v>
      </c>
    </row>
    <row r="698" spans="1:3" x14ac:dyDescent="0.25">
      <c r="B698" t="s">
        <v>63</v>
      </c>
      <c r="C698" s="36">
        <v>1</v>
      </c>
    </row>
    <row r="699" spans="1:3" x14ac:dyDescent="0.25">
      <c r="B699" t="s">
        <v>16</v>
      </c>
      <c r="C699" s="36">
        <v>1</v>
      </c>
    </row>
    <row r="700" spans="1:3" x14ac:dyDescent="0.25">
      <c r="A700" t="s">
        <v>91</v>
      </c>
      <c r="B700">
        <v>2</v>
      </c>
    </row>
    <row r="701" spans="1:3" x14ac:dyDescent="0.25">
      <c r="B701" t="s">
        <v>8</v>
      </c>
      <c r="C701" s="36">
        <v>1</v>
      </c>
    </row>
    <row r="702" spans="1:3" x14ac:dyDescent="0.25">
      <c r="B702" t="s">
        <v>2</v>
      </c>
      <c r="C702" s="36">
        <v>1</v>
      </c>
    </row>
    <row r="703" spans="1:3" x14ac:dyDescent="0.25">
      <c r="A703" t="s">
        <v>93</v>
      </c>
    </row>
  </sheetData>
  <sortState ref="BB1:BC56">
    <sortCondition ref="BB1:BB56"/>
  </sortState>
  <conditionalFormatting sqref="AJ2:AP5">
    <cfRule type="colorScale" priority="2">
      <colorScale>
        <cfvo type="min"/>
        <cfvo type="max"/>
        <color rgb="FFF8696B"/>
        <color rgb="FFFCFCFF"/>
      </colorScale>
    </cfRule>
  </conditionalFormatting>
  <conditionalFormatting sqref="AQ2:AW5">
    <cfRule type="colorScale" priority="1">
      <colorScale>
        <cfvo type="min"/>
        <cfvo type="max"/>
        <color rgb="FFF8696B"/>
        <color rgb="FFFCFCFF"/>
      </colorScale>
    </cfRule>
  </conditionalFormatting>
  <conditionalFormatting sqref="B58:B67 B84:B109 B1:B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{B6A23AFD-5BB4-4185-A1B8-D8C41E847A0E}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A23AFD-5BB4-4185-A1B8-D8C41E847A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B58:B67 B84:B109 B1:B56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C8" sqref="C8"/>
    </sheetView>
  </sheetViews>
  <sheetFormatPr defaultRowHeight="15" x14ac:dyDescent="0.25"/>
  <cols>
    <col min="1" max="14" width="3.7109375" customWidth="1"/>
  </cols>
  <sheetData>
    <row r="1" spans="1:14" x14ac:dyDescent="0.25">
      <c r="A1" s="77" t="s">
        <v>170</v>
      </c>
      <c r="B1" s="78" t="s">
        <v>168</v>
      </c>
      <c r="C1" s="79" t="s">
        <v>162</v>
      </c>
      <c r="D1" s="78" t="s">
        <v>163</v>
      </c>
      <c r="E1" s="79" t="s">
        <v>119</v>
      </c>
      <c r="F1" s="80" t="s">
        <v>112</v>
      </c>
      <c r="G1" s="80" t="s">
        <v>159</v>
      </c>
      <c r="H1" s="78" t="s">
        <v>132</v>
      </c>
      <c r="I1" s="78" t="s">
        <v>109</v>
      </c>
      <c r="J1" s="79" t="s">
        <v>118</v>
      </c>
      <c r="K1" s="79" t="s">
        <v>161</v>
      </c>
      <c r="L1" s="78" t="s">
        <v>128</v>
      </c>
      <c r="M1" s="81" t="s">
        <v>155</v>
      </c>
      <c r="N1" s="82"/>
    </row>
    <row r="2" spans="1:14" ht="15.75" thickBot="1" x14ac:dyDescent="0.3">
      <c r="A2" s="82"/>
      <c r="B2" s="83" t="s">
        <v>127</v>
      </c>
      <c r="C2" s="48" t="s">
        <v>111</v>
      </c>
      <c r="D2" s="48" t="s">
        <v>117</v>
      </c>
      <c r="E2" s="48" t="s">
        <v>106</v>
      </c>
      <c r="F2" s="47" t="s">
        <v>103</v>
      </c>
      <c r="G2" s="47" t="s">
        <v>104</v>
      </c>
      <c r="H2" s="48" t="s">
        <v>124</v>
      </c>
      <c r="I2" s="48" t="s">
        <v>102</v>
      </c>
      <c r="J2" s="84" t="s">
        <v>107</v>
      </c>
      <c r="K2" s="48" t="s">
        <v>108</v>
      </c>
      <c r="L2" s="48" t="s">
        <v>122</v>
      </c>
      <c r="M2" s="85" t="s">
        <v>172</v>
      </c>
      <c r="N2" s="86" t="s">
        <v>167</v>
      </c>
    </row>
    <row r="3" spans="1:14" ht="15.75" thickBot="1" x14ac:dyDescent="0.3">
      <c r="A3" s="82"/>
      <c r="B3" s="87" t="s">
        <v>164</v>
      </c>
      <c r="C3" s="48" t="s">
        <v>100</v>
      </c>
      <c r="D3" s="48" t="s">
        <v>98</v>
      </c>
      <c r="E3" s="88" t="s">
        <v>96</v>
      </c>
      <c r="F3" s="47" t="s">
        <v>94</v>
      </c>
      <c r="G3" s="84" t="s">
        <v>105</v>
      </c>
      <c r="H3" s="88" t="s">
        <v>95</v>
      </c>
      <c r="I3" s="48" t="s">
        <v>97</v>
      </c>
      <c r="J3" s="48" t="s">
        <v>99</v>
      </c>
      <c r="K3" s="48" t="s">
        <v>101</v>
      </c>
      <c r="L3" s="89" t="s">
        <v>165</v>
      </c>
      <c r="M3" s="82"/>
      <c r="N3" s="82"/>
    </row>
    <row r="4" spans="1:14" x14ac:dyDescent="0.25">
      <c r="A4" s="82"/>
      <c r="B4" s="90" t="s">
        <v>116</v>
      </c>
      <c r="C4" s="85" t="s">
        <v>126</v>
      </c>
      <c r="D4" s="85" t="s">
        <v>121</v>
      </c>
      <c r="E4" s="85" t="s">
        <v>120</v>
      </c>
      <c r="F4" s="89" t="s">
        <v>157</v>
      </c>
      <c r="G4" s="89" t="s">
        <v>129</v>
      </c>
      <c r="H4" s="85" t="s">
        <v>115</v>
      </c>
      <c r="I4" s="85" t="s">
        <v>110</v>
      </c>
      <c r="J4" s="85" t="s">
        <v>125</v>
      </c>
      <c r="K4" s="89" t="s">
        <v>114</v>
      </c>
      <c r="L4" s="82"/>
      <c r="M4" s="82"/>
      <c r="N4" s="82"/>
    </row>
    <row r="5" spans="1:14" x14ac:dyDescent="0.25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</row>
    <row r="6" spans="1:14" x14ac:dyDescent="0.25">
      <c r="A6" s="77" t="s">
        <v>177</v>
      </c>
      <c r="B6" s="78">
        <v>1</v>
      </c>
      <c r="C6" s="78">
        <v>2</v>
      </c>
      <c r="D6" s="78">
        <v>3</v>
      </c>
      <c r="E6" s="78">
        <v>4</v>
      </c>
      <c r="F6" s="91">
        <v>5</v>
      </c>
      <c r="G6" s="81">
        <v>6</v>
      </c>
      <c r="H6" s="78">
        <v>7</v>
      </c>
      <c r="I6" s="78">
        <v>8</v>
      </c>
      <c r="J6" s="78">
        <v>9</v>
      </c>
      <c r="K6" s="78">
        <v>0</v>
      </c>
      <c r="L6" s="78" t="s">
        <v>149</v>
      </c>
      <c r="M6" s="81" t="s">
        <v>156</v>
      </c>
      <c r="N6" s="82"/>
    </row>
    <row r="7" spans="1:14" x14ac:dyDescent="0.25">
      <c r="A7" s="82"/>
      <c r="B7" s="87" t="s">
        <v>174</v>
      </c>
      <c r="C7" s="48" t="str">
        <f>UPPER(C2)</f>
        <v>U</v>
      </c>
      <c r="D7" s="48" t="str">
        <f t="shared" ref="D7:K7" si="0">UPPER(D2)</f>
        <v>G</v>
      </c>
      <c r="E7" s="48" t="str">
        <f t="shared" si="0"/>
        <v>D</v>
      </c>
      <c r="F7" s="48" t="str">
        <f t="shared" si="0"/>
        <v>F</v>
      </c>
      <c r="G7" s="48" t="s">
        <v>169</v>
      </c>
      <c r="H7" s="48" t="str">
        <f t="shared" si="0"/>
        <v>Y</v>
      </c>
      <c r="I7" s="48" t="str">
        <f t="shared" si="0"/>
        <v>I</v>
      </c>
      <c r="J7" s="48" t="str">
        <f t="shared" si="0"/>
        <v>C</v>
      </c>
      <c r="K7" s="48" t="str">
        <f t="shared" si="0"/>
        <v>P</v>
      </c>
      <c r="L7" s="48" t="s">
        <v>123</v>
      </c>
      <c r="M7" s="85" t="s">
        <v>173</v>
      </c>
      <c r="N7" s="86" t="s">
        <v>160</v>
      </c>
    </row>
    <row r="8" spans="1:14" x14ac:dyDescent="0.25">
      <c r="A8" s="82"/>
      <c r="B8" s="87" t="s">
        <v>175</v>
      </c>
      <c r="C8" s="48" t="str">
        <f t="shared" ref="C8:K9" si="1">UPPER(C3)</f>
        <v>N</v>
      </c>
      <c r="D8" s="48" t="str">
        <f t="shared" si="1"/>
        <v>O</v>
      </c>
      <c r="E8" s="48" t="str">
        <f t="shared" si="1"/>
        <v>S</v>
      </c>
      <c r="F8" s="48" t="str">
        <f t="shared" si="1"/>
        <v>E</v>
      </c>
      <c r="G8" s="84" t="s">
        <v>176</v>
      </c>
      <c r="H8" s="48" t="str">
        <f t="shared" si="1"/>
        <v>T</v>
      </c>
      <c r="I8" s="48" t="str">
        <f t="shared" si="1"/>
        <v>R</v>
      </c>
      <c r="J8" s="48" t="str">
        <f t="shared" si="1"/>
        <v>A</v>
      </c>
      <c r="K8" s="48" t="str">
        <f t="shared" si="1"/>
        <v>L</v>
      </c>
      <c r="L8" s="89" t="s">
        <v>166</v>
      </c>
      <c r="M8" s="82"/>
      <c r="N8" s="82"/>
    </row>
    <row r="9" spans="1:14" x14ac:dyDescent="0.25">
      <c r="A9" s="82"/>
      <c r="B9" s="90" t="s">
        <v>171</v>
      </c>
      <c r="C9" s="85" t="str">
        <f t="shared" si="1"/>
        <v>X</v>
      </c>
      <c r="D9" s="85" t="str">
        <f t="shared" si="1"/>
        <v>B</v>
      </c>
      <c r="E9" s="85" t="str">
        <f t="shared" si="1"/>
        <v>V</v>
      </c>
      <c r="F9" s="85" t="str">
        <f t="shared" si="1"/>
        <v>J</v>
      </c>
      <c r="G9" s="85" t="str">
        <f t="shared" si="1"/>
        <v>Q</v>
      </c>
      <c r="H9" s="85" t="str">
        <f t="shared" si="1"/>
        <v>H</v>
      </c>
      <c r="I9" s="85" t="str">
        <f t="shared" si="1"/>
        <v>M</v>
      </c>
      <c r="J9" s="85" t="str">
        <f t="shared" si="1"/>
        <v>W</v>
      </c>
      <c r="K9" s="89" t="s">
        <v>113</v>
      </c>
      <c r="L9" s="82"/>
      <c r="M9" s="82"/>
      <c r="N9" s="8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Kim</dc:creator>
  <cp:lastModifiedBy>Rick Kim</cp:lastModifiedBy>
  <cp:lastPrinted>2018-03-05T04:14:06Z</cp:lastPrinted>
  <dcterms:created xsi:type="dcterms:W3CDTF">2018-02-08T19:17:54Z</dcterms:created>
  <dcterms:modified xsi:type="dcterms:W3CDTF">2018-03-05T04:16:16Z</dcterms:modified>
</cp:coreProperties>
</file>