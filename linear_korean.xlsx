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6275" windowHeight="979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5621"/>
</workbook>
</file>

<file path=xl/calcChain.xml><?xml version="1.0" encoding="utf-8"?>
<calcChain xmlns="http://schemas.openxmlformats.org/spreadsheetml/2006/main">
  <c r="Q5" i="1" l="1"/>
  <c r="R5" i="1"/>
  <c r="S5" i="1"/>
  <c r="T5" i="1"/>
  <c r="U5" i="1"/>
  <c r="V5" i="1"/>
  <c r="W5" i="1"/>
  <c r="X5" i="1"/>
  <c r="Y5" i="1"/>
  <c r="Z5" i="1"/>
  <c r="AA5" i="1"/>
  <c r="AB5" i="1"/>
  <c r="AC5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R7" i="1"/>
  <c r="S7" i="1"/>
  <c r="T7" i="1"/>
  <c r="U7" i="1"/>
  <c r="V7" i="1"/>
  <c r="W7" i="1"/>
  <c r="X7" i="1"/>
  <c r="Y7" i="1"/>
  <c r="Z7" i="1"/>
  <c r="AA7" i="1"/>
  <c r="AB7" i="1"/>
  <c r="R8" i="1"/>
  <c r="S8" i="1"/>
  <c r="T8" i="1"/>
  <c r="U8" i="1"/>
  <c r="V8" i="1"/>
  <c r="W8" i="1"/>
  <c r="X8" i="1"/>
  <c r="Y8" i="1"/>
  <c r="Z8" i="1"/>
  <c r="AA8" i="1"/>
</calcChain>
</file>

<file path=xl/sharedStrings.xml><?xml version="1.0" encoding="utf-8"?>
<sst xmlns="http://schemas.openxmlformats.org/spreadsheetml/2006/main" count="589" uniqueCount="92">
  <si>
    <t>초성</t>
  </si>
  <si>
    <t>글자당 빈도</t>
  </si>
  <si>
    <t>초성체</t>
  </si>
  <si>
    <t>초성체포함빈도</t>
  </si>
  <si>
    <t>초성체포함</t>
  </si>
  <si>
    <t>중성</t>
  </si>
  <si>
    <t>빈도</t>
  </si>
  <si>
    <t>종성</t>
  </si>
  <si>
    <t>ㄱ</t>
  </si>
  <si>
    <t>ㅏ</t>
  </si>
  <si>
    <t>ㄲ</t>
  </si>
  <si>
    <t>ㅐ</t>
  </si>
  <si>
    <t>ㄴ</t>
  </si>
  <si>
    <t>ㅑ</t>
  </si>
  <si>
    <t>ㄷ</t>
  </si>
  <si>
    <t>ㅒ</t>
  </si>
  <si>
    <t>ㄳ</t>
  </si>
  <si>
    <t>ㄸ</t>
  </si>
  <si>
    <t>ㅓ</t>
  </si>
  <si>
    <t>ㄹ</t>
  </si>
  <si>
    <t>ㅔ</t>
  </si>
  <si>
    <t>ㄵ</t>
  </si>
  <si>
    <t>ㅁ</t>
  </si>
  <si>
    <t>ㅕ</t>
  </si>
  <si>
    <t>ㄶ</t>
  </si>
  <si>
    <t>ㅂ</t>
  </si>
  <si>
    <t>ㅖ</t>
  </si>
  <si>
    <t>ㅃ</t>
  </si>
  <si>
    <t>ㅗ</t>
  </si>
  <si>
    <t>ㅅ</t>
  </si>
  <si>
    <t>ㅘ</t>
  </si>
  <si>
    <t>ㄺ</t>
  </si>
  <si>
    <t>ㅆ</t>
  </si>
  <si>
    <t>ㅙ</t>
  </si>
  <si>
    <t>ㄻ</t>
  </si>
  <si>
    <t>ㅇ</t>
  </si>
  <si>
    <t>ㅚ</t>
  </si>
  <si>
    <t>ㄼ</t>
  </si>
  <si>
    <t>ㅈ</t>
  </si>
  <si>
    <t>ㅛ</t>
  </si>
  <si>
    <t>ㄽ</t>
  </si>
  <si>
    <t>ㅉ</t>
  </si>
  <si>
    <t>ㅜ</t>
  </si>
  <si>
    <t>ㄾ</t>
  </si>
  <si>
    <t>ㅊ</t>
  </si>
  <si>
    <t>ㅝ</t>
  </si>
  <si>
    <t>ㄿ</t>
  </si>
  <si>
    <t>ㅋ</t>
  </si>
  <si>
    <t>ㅞ</t>
  </si>
  <si>
    <t>ㅀ</t>
  </si>
  <si>
    <t>ㅌ</t>
  </si>
  <si>
    <t>ㅟ</t>
  </si>
  <si>
    <t>ㅍ</t>
  </si>
  <si>
    <t>ㅠ</t>
  </si>
  <si>
    <t>ㅎ</t>
  </si>
  <si>
    <t>ㅡ</t>
  </si>
  <si>
    <t>ㅄ</t>
  </si>
  <si>
    <t>ㅢ</t>
  </si>
  <si>
    <t>ㅣ</t>
  </si>
  <si>
    <t>Shift</t>
  </si>
  <si>
    <t>.</t>
  </si>
  <si>
    <t>!</t>
  </si>
  <si>
    <t>@</t>
  </si>
  <si>
    <t>#</t>
  </si>
  <si>
    <t>$</t>
  </si>
  <si>
    <t>%</t>
  </si>
  <si>
    <t>^</t>
  </si>
  <si>
    <t>&amp;</t>
  </si>
  <si>
    <t>*</t>
  </si>
  <si>
    <t>(</t>
  </si>
  <si>
    <t>)</t>
  </si>
  <si>
    <t>-</t>
  </si>
  <si>
    <t>=</t>
  </si>
  <si>
    <t>_</t>
  </si>
  <si>
    <t>+</t>
  </si>
  <si>
    <t>[</t>
  </si>
  <si>
    <t>]</t>
  </si>
  <si>
    <t>{</t>
  </si>
  <si>
    <t>}</t>
  </si>
  <si>
    <t>'</t>
  </si>
  <si>
    <t>"</t>
  </si>
  <si>
    <t>,</t>
  </si>
  <si>
    <t>&lt;</t>
  </si>
  <si>
    <t>&gt;</t>
  </si>
  <si>
    <t>/</t>
  </si>
  <si>
    <t>?</t>
  </si>
  <si>
    <t>`</t>
  </si>
  <si>
    <t>~</t>
  </si>
  <si>
    <t>:</t>
  </si>
  <si>
    <t>;</t>
  </si>
  <si>
    <t>\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</si>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</sst>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8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3" fontId="1" fillId="0" borderId="0" xfId="0" applyNumberFormat="1" applyFont="1"/>
    <xf numFmtId="0" fontId="1" fillId="6" borderId="0" xfId="0" applyFont="1" applyFill="1"/>
    <xf numFmtId="0" fontId="0" fillId="6" borderId="0" xfId="0" applyFont="1" applyFill="1"/>
    <xf numFmtId="0" fontId="2" fillId="4" borderId="0" xfId="0" applyFont="1" applyFill="1"/>
    <xf numFmtId="3" fontId="2" fillId="0" borderId="0" xfId="0" applyNumberFormat="1" applyFont="1"/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0" xfId="0" applyFill="1"/>
    <xf numFmtId="0" fontId="0" fillId="5" borderId="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7" xfId="0" quotePrefix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quotePrefix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quotePrefix="1" applyFill="1" applyBorder="1" applyAlignment="1">
      <alignment horizontal="center"/>
    </xf>
    <xf numFmtId="0" fontId="0" fillId="0" borderId="8" xfId="0" quotePrefix="1" applyFill="1" applyBorder="1" applyAlignment="1">
      <alignment horizontal="center"/>
    </xf>
    <xf numFmtId="0" fontId="0" fillId="0" borderId="6" xfId="0" quotePrefix="1" applyFill="1" applyBorder="1" applyAlignment="1">
      <alignment horizontal="center"/>
    </xf>
    <xf numFmtId="0" fontId="0" fillId="0" borderId="7" xfId="0" quotePrefix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3" fontId="0" fillId="0" borderId="0" xfId="1" applyNumberFormat="1" applyFont="1"/>
    <xf numFmtId="0" fontId="0" fillId="6" borderId="5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3" fontId="0" fillId="0" borderId="0" xfId="0" applyNumberFormat="1" applyFont="1"/>
    <xf numFmtId="0" fontId="0" fillId="0" borderId="0" xfId="0" applyFill="1"/>
    <xf numFmtId="0" fontId="0" fillId="0" borderId="0" xfId="0" quotePrefix="1" applyFill="1" applyBorder="1" applyAlignment="1">
      <alignment horizontal="center"/>
    </xf>
    <xf numFmtId="0" fontId="0" fillId="6" borderId="8" xfId="0" quotePrefix="1" applyFill="1" applyBorder="1" applyAlignment="1">
      <alignment horizontal="center"/>
    </xf>
    <xf numFmtId="0" fontId="0" fillId="6" borderId="7" xfId="0" quotePrefix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9" borderId="0" xfId="0" quotePrefix="1" applyFill="1" applyAlignment="1">
      <alignment horizontal="center"/>
    </xf>
    <xf numFmtId="0" fontId="0" fillId="9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0" xfId="0" quotePrefix="1"/>
    <xf numFmtId="0" fontId="0" fillId="0" borderId="0" xfId="0" applyFont="1" applyFill="1"/>
    <xf numFmtId="0" fontId="0" fillId="0" borderId="0" xfId="0" quotePrefix="1" applyFont="1" applyFill="1"/>
    <xf numFmtId="0" fontId="4" fillId="0" borderId="0" xfId="0" quotePrefix="1" applyFont="1" applyFill="1"/>
    <xf numFmtId="0" fontId="0" fillId="9" borderId="4" xfId="0" quotePrefix="1" applyFill="1" applyBorder="1" applyAlignment="1">
      <alignment horizontal="center"/>
    </xf>
    <xf numFmtId="0" fontId="0" fillId="9" borderId="0" xfId="0" quotePrefix="1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5" xfId="0" quotePrefix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1" xfId="0" quotePrefix="1" applyFill="1" applyBorder="1" applyAlignment="1">
      <alignment horizontal="center"/>
    </xf>
    <xf numFmtId="0" fontId="0" fillId="10" borderId="4" xfId="0" applyFont="1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7" xfId="0" quotePrefix="1" applyFill="1" applyBorder="1" applyAlignment="1">
      <alignment horizontal="center"/>
    </xf>
    <xf numFmtId="0" fontId="0" fillId="10" borderId="8" xfId="0" quotePrefix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2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Q1" sqref="Q1:AD4"/>
    </sheetView>
  </sheetViews>
  <sheetFormatPr defaultRowHeight="15" x14ac:dyDescent="0.25"/>
  <cols>
    <col min="2" max="2" width="7.5703125" bestFit="1" customWidth="1"/>
    <col min="3" max="31" width="3.7109375" style="19" customWidth="1"/>
    <col min="44" max="44" width="4.7109375" customWidth="1"/>
  </cols>
  <sheetData>
    <row r="1" spans="1:46" x14ac:dyDescent="0.25">
      <c r="A1" s="5" t="s">
        <v>9</v>
      </c>
      <c r="B1" s="1">
        <v>137537</v>
      </c>
      <c r="C1" s="71" t="s">
        <v>44</v>
      </c>
      <c r="D1" s="71" t="s">
        <v>52</v>
      </c>
      <c r="E1" s="72" t="s">
        <v>71</v>
      </c>
      <c r="F1" s="73" t="s">
        <v>61</v>
      </c>
      <c r="G1" s="74" t="s">
        <v>39</v>
      </c>
      <c r="H1" s="31" t="s">
        <v>50</v>
      </c>
      <c r="I1" s="37" t="s">
        <v>13</v>
      </c>
      <c r="J1" s="71" t="s">
        <v>29</v>
      </c>
      <c r="K1" s="75" t="s">
        <v>44</v>
      </c>
      <c r="L1" s="71" t="s">
        <v>25</v>
      </c>
      <c r="M1" s="75" t="s">
        <v>47</v>
      </c>
      <c r="N1" s="74" t="s">
        <v>53</v>
      </c>
      <c r="O1" s="71" t="s">
        <v>50</v>
      </c>
      <c r="P1" s="60"/>
      <c r="Q1" s="84" t="s">
        <v>87</v>
      </c>
      <c r="R1" s="35">
        <v>1</v>
      </c>
      <c r="S1" s="35">
        <v>2</v>
      </c>
      <c r="T1" s="35">
        <v>3</v>
      </c>
      <c r="U1" s="35">
        <v>4</v>
      </c>
      <c r="V1" s="70">
        <v>5</v>
      </c>
      <c r="W1" s="39">
        <v>6</v>
      </c>
      <c r="X1" s="35">
        <v>7</v>
      </c>
      <c r="Y1" s="35">
        <v>8</v>
      </c>
      <c r="Z1" s="35">
        <v>9</v>
      </c>
      <c r="AA1" s="35">
        <v>0</v>
      </c>
      <c r="AB1" s="35" t="s">
        <v>82</v>
      </c>
      <c r="AC1" s="39" t="s">
        <v>83</v>
      </c>
      <c r="AD1" s="60"/>
      <c r="AF1" t="s">
        <v>0</v>
      </c>
      <c r="AG1" t="s">
        <v>1</v>
      </c>
      <c r="AI1" t="s">
        <v>2</v>
      </c>
      <c r="AJ1" t="s">
        <v>3</v>
      </c>
      <c r="AK1" t="s">
        <v>4</v>
      </c>
      <c r="AL1" t="s">
        <v>5</v>
      </c>
      <c r="AM1" t="s">
        <v>6</v>
      </c>
      <c r="AO1" t="s">
        <v>7</v>
      </c>
      <c r="AP1" t="s">
        <v>6</v>
      </c>
      <c r="AS1" s="4" t="s">
        <v>35</v>
      </c>
      <c r="AT1">
        <v>37184</v>
      </c>
    </row>
    <row r="2" spans="1:46" x14ac:dyDescent="0.25">
      <c r="A2" s="4" t="s">
        <v>35</v>
      </c>
      <c r="B2" s="1">
        <v>130866</v>
      </c>
      <c r="C2" s="60"/>
      <c r="D2" s="73" t="s">
        <v>85</v>
      </c>
      <c r="E2" s="75" t="s">
        <v>54</v>
      </c>
      <c r="F2" s="71" t="s">
        <v>35</v>
      </c>
      <c r="G2" s="71" t="s">
        <v>19</v>
      </c>
      <c r="H2" s="31" t="s">
        <v>38</v>
      </c>
      <c r="I2" s="43" t="s">
        <v>60</v>
      </c>
      <c r="J2" s="73" t="s">
        <v>80</v>
      </c>
      <c r="K2" s="75" t="s">
        <v>29</v>
      </c>
      <c r="L2" s="75" t="s">
        <v>14</v>
      </c>
      <c r="M2" s="75" t="s">
        <v>12</v>
      </c>
      <c r="N2" s="75" t="s">
        <v>52</v>
      </c>
      <c r="O2" s="71" t="s">
        <v>54</v>
      </c>
      <c r="P2" s="71" t="s">
        <v>47</v>
      </c>
      <c r="Q2" s="60"/>
      <c r="R2" s="41" t="s">
        <v>77</v>
      </c>
      <c r="S2" s="33" t="s">
        <v>78</v>
      </c>
      <c r="T2" s="33" t="s">
        <v>75</v>
      </c>
      <c r="U2" s="33" t="s">
        <v>76</v>
      </c>
      <c r="V2" s="31" t="s">
        <v>41</v>
      </c>
      <c r="W2" s="22">
        <v>73</v>
      </c>
      <c r="X2" s="33" t="s">
        <v>68</v>
      </c>
      <c r="Y2" s="26" t="s">
        <v>32</v>
      </c>
      <c r="Z2" s="26" t="s">
        <v>17</v>
      </c>
      <c r="AA2" s="33" t="s">
        <v>64</v>
      </c>
      <c r="AB2" s="33" t="s">
        <v>63</v>
      </c>
      <c r="AC2" s="34" t="s">
        <v>90</v>
      </c>
      <c r="AD2" s="85" t="s">
        <v>91</v>
      </c>
      <c r="AE2" s="23"/>
      <c r="AF2" s="2" t="s">
        <v>35</v>
      </c>
      <c r="AG2">
        <v>0.214</v>
      </c>
      <c r="AH2" s="1">
        <v>130866</v>
      </c>
      <c r="AI2" s="1">
        <v>1154</v>
      </c>
      <c r="AJ2">
        <v>0.20699999999999999</v>
      </c>
      <c r="AK2" s="1">
        <v>132020</v>
      </c>
      <c r="AL2" s="2" t="s">
        <v>9</v>
      </c>
      <c r="AM2">
        <v>0.22500000000000001</v>
      </c>
      <c r="AN2" s="1">
        <v>137537</v>
      </c>
      <c r="AP2">
        <v>0.56499999999999995</v>
      </c>
      <c r="AQ2" s="1">
        <v>344817</v>
      </c>
      <c r="AS2" s="5" t="s">
        <v>9</v>
      </c>
      <c r="AT2">
        <v>34363</v>
      </c>
    </row>
    <row r="3" spans="1:46" x14ac:dyDescent="0.25">
      <c r="A3" s="5" t="s">
        <v>58</v>
      </c>
      <c r="B3" s="1">
        <v>102676</v>
      </c>
      <c r="C3" s="60"/>
      <c r="D3" s="76" t="s">
        <v>14</v>
      </c>
      <c r="E3" s="74" t="s">
        <v>18</v>
      </c>
      <c r="F3" s="74" t="s">
        <v>55</v>
      </c>
      <c r="G3" s="71" t="s">
        <v>12</v>
      </c>
      <c r="H3" s="31" t="s">
        <v>35</v>
      </c>
      <c r="I3" s="63" t="s">
        <v>8</v>
      </c>
      <c r="J3" s="74" t="s">
        <v>9</v>
      </c>
      <c r="K3" s="74" t="s">
        <v>58</v>
      </c>
      <c r="L3" s="75" t="s">
        <v>8</v>
      </c>
      <c r="M3" s="74" t="s">
        <v>28</v>
      </c>
      <c r="N3" s="71" t="s">
        <v>38</v>
      </c>
      <c r="O3" s="60"/>
      <c r="P3" s="60"/>
      <c r="Q3" s="60"/>
      <c r="R3" s="38" t="s">
        <v>17</v>
      </c>
      <c r="S3" s="33" t="s">
        <v>69</v>
      </c>
      <c r="T3" s="33" t="s">
        <v>70</v>
      </c>
      <c r="U3" s="83" t="s">
        <v>74</v>
      </c>
      <c r="V3" s="82" t="s">
        <v>79</v>
      </c>
      <c r="W3" s="63" t="s">
        <v>10</v>
      </c>
      <c r="X3" s="33" t="s">
        <v>88</v>
      </c>
      <c r="Y3" s="33" t="s">
        <v>89</v>
      </c>
      <c r="Z3" s="26" t="s">
        <v>10</v>
      </c>
      <c r="AA3" s="33" t="s">
        <v>72</v>
      </c>
      <c r="AB3" s="68" t="s">
        <v>41</v>
      </c>
      <c r="AC3" s="60"/>
      <c r="AD3" s="60"/>
      <c r="AF3" s="2" t="s">
        <v>8</v>
      </c>
      <c r="AG3">
        <v>0.113</v>
      </c>
      <c r="AH3" s="1">
        <v>69141</v>
      </c>
      <c r="AI3">
        <v>525</v>
      </c>
      <c r="AJ3">
        <v>0.109</v>
      </c>
      <c r="AK3" s="1">
        <v>69666</v>
      </c>
      <c r="AL3" s="2" t="s">
        <v>58</v>
      </c>
      <c r="AM3">
        <v>0.16800000000000001</v>
      </c>
      <c r="AN3" s="1">
        <v>102676</v>
      </c>
      <c r="AO3" t="s">
        <v>12</v>
      </c>
      <c r="AP3">
        <v>0.14099999999999999</v>
      </c>
      <c r="AQ3" s="1">
        <v>86275</v>
      </c>
      <c r="AS3" s="5" t="s">
        <v>58</v>
      </c>
      <c r="AT3">
        <v>22284</v>
      </c>
    </row>
    <row r="4" spans="1:46" x14ac:dyDescent="0.25">
      <c r="A4" s="6" t="s">
        <v>12</v>
      </c>
      <c r="B4" s="1">
        <v>86275</v>
      </c>
      <c r="C4" s="60"/>
      <c r="D4" s="71" t="s">
        <v>32</v>
      </c>
      <c r="E4" s="75" t="s">
        <v>25</v>
      </c>
      <c r="F4" s="74" t="s">
        <v>20</v>
      </c>
      <c r="G4" s="74" t="s">
        <v>42</v>
      </c>
      <c r="H4" s="77" t="s">
        <v>22</v>
      </c>
      <c r="I4" s="64" t="s">
        <v>23</v>
      </c>
      <c r="J4" s="75" t="s">
        <v>19</v>
      </c>
      <c r="K4" s="75" t="s">
        <v>22</v>
      </c>
      <c r="L4" s="74" t="s">
        <v>11</v>
      </c>
      <c r="M4" s="73" t="s">
        <v>81</v>
      </c>
      <c r="N4" s="60"/>
      <c r="O4" s="60"/>
      <c r="P4" s="60"/>
      <c r="Q4" s="60"/>
      <c r="R4" s="44" t="s">
        <v>86</v>
      </c>
      <c r="S4" s="32" t="s">
        <v>27</v>
      </c>
      <c r="T4" s="69" t="s">
        <v>27</v>
      </c>
      <c r="U4" s="42" t="s">
        <v>67</v>
      </c>
      <c r="V4" s="44" t="s">
        <v>84</v>
      </c>
      <c r="W4" s="40" t="s">
        <v>66</v>
      </c>
      <c r="X4" s="34" t="s">
        <v>65</v>
      </c>
      <c r="Y4" s="34" t="s">
        <v>62</v>
      </c>
      <c r="Z4" s="34" t="s">
        <v>73</v>
      </c>
      <c r="AA4" s="59">
        <v>78</v>
      </c>
      <c r="AB4" s="60"/>
      <c r="AC4" s="60"/>
      <c r="AD4" s="60"/>
      <c r="AF4" s="2" t="s">
        <v>29</v>
      </c>
      <c r="AG4">
        <v>9.0999999999999998E-2</v>
      </c>
      <c r="AH4" s="1">
        <v>55846</v>
      </c>
      <c r="AI4">
        <v>482</v>
      </c>
      <c r="AJ4">
        <v>8.7999999999999995E-2</v>
      </c>
      <c r="AK4" s="1">
        <v>56328</v>
      </c>
      <c r="AL4" s="2" t="s">
        <v>55</v>
      </c>
      <c r="AM4">
        <v>0.108</v>
      </c>
      <c r="AN4" s="1">
        <v>65789</v>
      </c>
      <c r="AO4" t="s">
        <v>19</v>
      </c>
      <c r="AP4">
        <v>7.6999999999999999E-2</v>
      </c>
      <c r="AQ4" s="1">
        <v>46910</v>
      </c>
      <c r="AS4" s="6" t="s">
        <v>12</v>
      </c>
      <c r="AT4">
        <v>20924</v>
      </c>
    </row>
    <row r="5" spans="1:46" x14ac:dyDescent="0.25">
      <c r="A5" s="4" t="s">
        <v>8</v>
      </c>
      <c r="B5" s="1">
        <v>69141</v>
      </c>
      <c r="C5" s="15">
        <v>47</v>
      </c>
      <c r="D5" s="16">
        <v>43</v>
      </c>
      <c r="E5" s="16">
        <v>40</v>
      </c>
      <c r="F5" s="16">
        <v>34</v>
      </c>
      <c r="G5" s="16">
        <v>30</v>
      </c>
      <c r="H5" s="20">
        <v>28</v>
      </c>
      <c r="I5" s="27">
        <v>38</v>
      </c>
      <c r="J5" s="16">
        <v>37</v>
      </c>
      <c r="K5" s="16">
        <v>27</v>
      </c>
      <c r="L5" s="16">
        <v>29</v>
      </c>
      <c r="M5" s="16">
        <v>33</v>
      </c>
      <c r="N5" s="16">
        <v>39</v>
      </c>
      <c r="O5" s="18">
        <v>42</v>
      </c>
      <c r="Q5" s="15">
        <f>C5+47</f>
        <v>94</v>
      </c>
      <c r="R5" s="16">
        <f t="shared" ref="R5:R8" si="0">D5+47</f>
        <v>90</v>
      </c>
      <c r="S5" s="16">
        <f t="shared" ref="S5:S8" si="1">E5+47</f>
        <v>87</v>
      </c>
      <c r="T5" s="16">
        <f t="shared" ref="T5:T8" si="2">F5+47</f>
        <v>81</v>
      </c>
      <c r="U5" s="16">
        <f t="shared" ref="U5:U8" si="3">G5+47</f>
        <v>77</v>
      </c>
      <c r="V5" s="17">
        <f t="shared" ref="V5:V8" si="4">H5+47</f>
        <v>75</v>
      </c>
      <c r="W5" s="18">
        <f t="shared" ref="W5:W8" si="5">I5+47</f>
        <v>85</v>
      </c>
      <c r="X5" s="16">
        <f t="shared" ref="X5:X8" si="6">J5+47</f>
        <v>84</v>
      </c>
      <c r="Y5" s="16">
        <f t="shared" ref="Y5:Y8" si="7">K5+47</f>
        <v>74</v>
      </c>
      <c r="Z5" s="16">
        <f t="shared" ref="Z5:Z8" si="8">L5+47</f>
        <v>76</v>
      </c>
      <c r="AA5" s="16">
        <f t="shared" ref="AA5:AA8" si="9">M5+47</f>
        <v>80</v>
      </c>
      <c r="AB5" s="16">
        <f t="shared" ref="AB5:AB6" si="10">N5+47</f>
        <v>86</v>
      </c>
      <c r="AC5" s="18">
        <f t="shared" ref="AC5:AC6" si="11">O5+47</f>
        <v>89</v>
      </c>
      <c r="AF5" s="2" t="s">
        <v>38</v>
      </c>
      <c r="AG5">
        <v>8.3000000000000004E-2</v>
      </c>
      <c r="AH5" s="1">
        <v>50805</v>
      </c>
      <c r="AI5">
        <v>140</v>
      </c>
      <c r="AJ5">
        <v>0.08</v>
      </c>
      <c r="AK5" s="1">
        <v>50945</v>
      </c>
      <c r="AL5" s="2" t="s">
        <v>28</v>
      </c>
      <c r="AM5">
        <v>0.106</v>
      </c>
      <c r="AN5" s="1">
        <v>64818</v>
      </c>
      <c r="AO5" t="s">
        <v>35</v>
      </c>
      <c r="AP5">
        <v>7.0000000000000007E-2</v>
      </c>
      <c r="AQ5" s="1">
        <v>42995</v>
      </c>
      <c r="AS5" s="5" t="s">
        <v>55</v>
      </c>
      <c r="AT5">
        <v>20740</v>
      </c>
    </row>
    <row r="6" spans="1:46" x14ac:dyDescent="0.25">
      <c r="A6" s="5" t="s">
        <v>55</v>
      </c>
      <c r="B6" s="1">
        <v>65789</v>
      </c>
      <c r="D6" s="20">
        <v>36</v>
      </c>
      <c r="E6" s="21">
        <v>15</v>
      </c>
      <c r="F6" s="21">
        <v>14</v>
      </c>
      <c r="G6" s="21">
        <v>12</v>
      </c>
      <c r="H6" s="20">
        <v>10</v>
      </c>
      <c r="I6" s="22">
        <v>26</v>
      </c>
      <c r="J6" s="21">
        <v>20</v>
      </c>
      <c r="K6" s="21">
        <v>9</v>
      </c>
      <c r="L6" s="21">
        <v>11</v>
      </c>
      <c r="M6" s="21">
        <v>13</v>
      </c>
      <c r="N6" s="23">
        <v>35</v>
      </c>
      <c r="O6" s="24">
        <v>41</v>
      </c>
      <c r="P6" s="25">
        <v>46</v>
      </c>
      <c r="R6" s="20">
        <f t="shared" si="0"/>
        <v>83</v>
      </c>
      <c r="S6" s="21">
        <f t="shared" si="1"/>
        <v>62</v>
      </c>
      <c r="T6" s="21">
        <f t="shared" si="2"/>
        <v>61</v>
      </c>
      <c r="U6" s="21">
        <f t="shared" si="3"/>
        <v>59</v>
      </c>
      <c r="V6" s="20">
        <f t="shared" si="4"/>
        <v>57</v>
      </c>
      <c r="W6" s="22">
        <f t="shared" si="5"/>
        <v>73</v>
      </c>
      <c r="X6" s="21">
        <f t="shared" si="6"/>
        <v>67</v>
      </c>
      <c r="Y6" s="21">
        <f t="shared" si="7"/>
        <v>56</v>
      </c>
      <c r="Z6" s="21">
        <f t="shared" si="8"/>
        <v>58</v>
      </c>
      <c r="AA6" s="21">
        <f t="shared" si="9"/>
        <v>60</v>
      </c>
      <c r="AB6" s="23">
        <f t="shared" si="10"/>
        <v>82</v>
      </c>
      <c r="AC6" s="24">
        <f t="shared" si="11"/>
        <v>88</v>
      </c>
      <c r="AD6" s="25">
        <f>P6+47</f>
        <v>93</v>
      </c>
      <c r="AF6" t="s">
        <v>14</v>
      </c>
      <c r="AG6">
        <v>0.08</v>
      </c>
      <c r="AH6" s="1">
        <v>49016</v>
      </c>
      <c r="AI6">
        <v>365</v>
      </c>
      <c r="AJ6">
        <v>7.6999999999999999E-2</v>
      </c>
      <c r="AK6" s="1">
        <v>49381</v>
      </c>
      <c r="AL6" t="s">
        <v>18</v>
      </c>
      <c r="AM6">
        <v>9.6000000000000002E-2</v>
      </c>
      <c r="AN6" s="1">
        <v>58692</v>
      </c>
      <c r="AO6" t="s">
        <v>8</v>
      </c>
      <c r="AP6">
        <v>4.1000000000000002E-2</v>
      </c>
      <c r="AQ6" s="1">
        <v>24766</v>
      </c>
      <c r="AS6" s="4" t="s">
        <v>8</v>
      </c>
      <c r="AT6">
        <v>18554</v>
      </c>
    </row>
    <row r="7" spans="1:46" x14ac:dyDescent="0.25">
      <c r="A7" s="5" t="s">
        <v>28</v>
      </c>
      <c r="B7" s="1">
        <v>64818</v>
      </c>
      <c r="D7" s="20">
        <v>45</v>
      </c>
      <c r="E7" s="21">
        <v>8</v>
      </c>
      <c r="F7" s="21">
        <v>6</v>
      </c>
      <c r="G7" s="21">
        <v>4</v>
      </c>
      <c r="H7" s="20">
        <v>2</v>
      </c>
      <c r="I7" s="27">
        <v>23</v>
      </c>
      <c r="J7" s="21">
        <v>1</v>
      </c>
      <c r="K7" s="21">
        <v>3</v>
      </c>
      <c r="L7" s="21">
        <v>5</v>
      </c>
      <c r="M7" s="21">
        <v>7</v>
      </c>
      <c r="N7" s="28">
        <v>44</v>
      </c>
      <c r="R7" s="20">
        <f t="shared" si="0"/>
        <v>92</v>
      </c>
      <c r="S7" s="21">
        <f t="shared" si="1"/>
        <v>55</v>
      </c>
      <c r="T7" s="21">
        <f t="shared" si="2"/>
        <v>53</v>
      </c>
      <c r="U7" s="21">
        <f t="shared" si="3"/>
        <v>51</v>
      </c>
      <c r="V7" s="20">
        <f t="shared" si="4"/>
        <v>49</v>
      </c>
      <c r="W7" s="27">
        <f t="shared" si="5"/>
        <v>70</v>
      </c>
      <c r="X7" s="21">
        <f t="shared" si="6"/>
        <v>48</v>
      </c>
      <c r="Y7" s="21">
        <f t="shared" si="7"/>
        <v>50</v>
      </c>
      <c r="Z7" s="21">
        <f t="shared" si="8"/>
        <v>52</v>
      </c>
      <c r="AA7" s="21">
        <f t="shared" si="9"/>
        <v>54</v>
      </c>
      <c r="AB7" s="28">
        <f>N7+47</f>
        <v>91</v>
      </c>
      <c r="AF7" t="s">
        <v>12</v>
      </c>
      <c r="AG7">
        <v>7.2999999999999995E-2</v>
      </c>
      <c r="AH7" s="1">
        <v>44401</v>
      </c>
      <c r="AI7">
        <v>347</v>
      </c>
      <c r="AJ7">
        <v>7.0000000000000007E-2</v>
      </c>
      <c r="AK7" s="1">
        <v>44748</v>
      </c>
      <c r="AL7" t="s">
        <v>42</v>
      </c>
      <c r="AM7">
        <v>6.6000000000000003E-2</v>
      </c>
      <c r="AN7" s="1">
        <v>40107</v>
      </c>
      <c r="AO7" t="s">
        <v>22</v>
      </c>
      <c r="AP7">
        <v>3.6999999999999998E-2</v>
      </c>
      <c r="AQ7" s="1">
        <v>22602</v>
      </c>
      <c r="AS7" s="5" t="s">
        <v>18</v>
      </c>
      <c r="AT7">
        <v>15540</v>
      </c>
    </row>
    <row r="8" spans="1:46" x14ac:dyDescent="0.25">
      <c r="A8" s="5" t="s">
        <v>18</v>
      </c>
      <c r="B8" s="1">
        <v>58692</v>
      </c>
      <c r="D8" s="29">
        <v>32</v>
      </c>
      <c r="E8" s="24">
        <v>22</v>
      </c>
      <c r="F8" s="24">
        <v>19</v>
      </c>
      <c r="G8" s="24">
        <v>17</v>
      </c>
      <c r="H8" s="29">
        <v>25</v>
      </c>
      <c r="I8" s="28">
        <v>24</v>
      </c>
      <c r="J8" s="24">
        <v>16</v>
      </c>
      <c r="K8" s="24">
        <v>18</v>
      </c>
      <c r="L8" s="24">
        <v>21</v>
      </c>
      <c r="M8" s="28">
        <v>31</v>
      </c>
      <c r="R8" s="29">
        <f t="shared" si="0"/>
        <v>79</v>
      </c>
      <c r="S8" s="24">
        <f t="shared" si="1"/>
        <v>69</v>
      </c>
      <c r="T8" s="24">
        <f t="shared" si="2"/>
        <v>66</v>
      </c>
      <c r="U8" s="24">
        <f t="shared" si="3"/>
        <v>64</v>
      </c>
      <c r="V8" s="29">
        <f t="shared" si="4"/>
        <v>72</v>
      </c>
      <c r="W8" s="28">
        <f t="shared" si="5"/>
        <v>71</v>
      </c>
      <c r="X8" s="24">
        <f t="shared" si="6"/>
        <v>63</v>
      </c>
      <c r="Y8" s="24">
        <f t="shared" si="7"/>
        <v>65</v>
      </c>
      <c r="Z8" s="24">
        <f t="shared" si="8"/>
        <v>68</v>
      </c>
      <c r="AA8" s="28">
        <f t="shared" si="9"/>
        <v>78</v>
      </c>
      <c r="AF8" t="s">
        <v>54</v>
      </c>
      <c r="AG8">
        <v>6.8000000000000005E-2</v>
      </c>
      <c r="AH8" s="1">
        <v>41470</v>
      </c>
      <c r="AI8" s="1">
        <v>1158</v>
      </c>
      <c r="AJ8">
        <v>6.7000000000000004E-2</v>
      </c>
      <c r="AK8" s="1">
        <v>42628</v>
      </c>
      <c r="AL8" t="s">
        <v>20</v>
      </c>
      <c r="AM8">
        <v>5.2999999999999999E-2</v>
      </c>
      <c r="AN8" s="1">
        <v>32064</v>
      </c>
      <c r="AO8" t="s">
        <v>25</v>
      </c>
      <c r="AP8">
        <v>1.7000000000000001E-2</v>
      </c>
      <c r="AQ8" s="1">
        <v>10662</v>
      </c>
      <c r="AS8" s="6" t="s">
        <v>19</v>
      </c>
      <c r="AT8">
        <v>14495</v>
      </c>
    </row>
    <row r="9" spans="1:46" x14ac:dyDescent="0.25">
      <c r="A9" s="4" t="s">
        <v>29</v>
      </c>
      <c r="B9" s="1">
        <v>55846</v>
      </c>
      <c r="AE9" s="21"/>
      <c r="AF9" t="s">
        <v>19</v>
      </c>
      <c r="AG9">
        <v>6.6000000000000003E-2</v>
      </c>
      <c r="AH9" s="1">
        <v>40585</v>
      </c>
      <c r="AI9">
        <v>235</v>
      </c>
      <c r="AJ9">
        <v>6.4000000000000001E-2</v>
      </c>
      <c r="AK9" s="1">
        <v>40820</v>
      </c>
      <c r="AL9" t="s">
        <v>11</v>
      </c>
      <c r="AM9">
        <v>4.8000000000000001E-2</v>
      </c>
      <c r="AN9" s="1">
        <v>29559</v>
      </c>
      <c r="AO9" t="s">
        <v>32</v>
      </c>
      <c r="AP9">
        <v>1.6E-2</v>
      </c>
      <c r="AQ9" s="1">
        <v>9738</v>
      </c>
      <c r="AS9" s="5" t="s">
        <v>28</v>
      </c>
      <c r="AT9">
        <v>14067</v>
      </c>
    </row>
    <row r="10" spans="1:46" x14ac:dyDescent="0.25">
      <c r="A10" s="4" t="s">
        <v>38</v>
      </c>
      <c r="B10" s="1">
        <v>50805</v>
      </c>
      <c r="K10" s="66"/>
      <c r="L10" s="66"/>
      <c r="T10" s="23"/>
      <c r="U10" s="67"/>
      <c r="AF10" t="s">
        <v>22</v>
      </c>
      <c r="AG10">
        <v>5.6000000000000001E-2</v>
      </c>
      <c r="AH10" s="1">
        <v>34360</v>
      </c>
      <c r="AI10">
        <v>424</v>
      </c>
      <c r="AJ10">
        <v>5.3999999999999999E-2</v>
      </c>
      <c r="AK10" s="1">
        <v>34784</v>
      </c>
      <c r="AL10" t="s">
        <v>23</v>
      </c>
      <c r="AM10">
        <v>0.04</v>
      </c>
      <c r="AN10" s="1">
        <v>24466</v>
      </c>
      <c r="AO10" t="s">
        <v>29</v>
      </c>
      <c r="AP10">
        <v>1.2999999999999999E-2</v>
      </c>
      <c r="AQ10" s="1">
        <v>8216</v>
      </c>
      <c r="AS10" s="4" t="s">
        <v>14</v>
      </c>
      <c r="AT10">
        <v>13269</v>
      </c>
    </row>
    <row r="11" spans="1:46" x14ac:dyDescent="0.25">
      <c r="A11" s="4" t="s">
        <v>14</v>
      </c>
      <c r="B11" s="1">
        <v>49016</v>
      </c>
      <c r="AF11" t="s">
        <v>25</v>
      </c>
      <c r="AG11">
        <v>4.8000000000000001E-2</v>
      </c>
      <c r="AH11" s="1">
        <v>29425</v>
      </c>
      <c r="AI11">
        <v>168</v>
      </c>
      <c r="AJ11">
        <v>4.5999999999999999E-2</v>
      </c>
      <c r="AK11" s="1">
        <v>29593</v>
      </c>
      <c r="AL11" t="s">
        <v>39</v>
      </c>
      <c r="AM11">
        <v>1.6E-2</v>
      </c>
      <c r="AN11" s="1">
        <v>9768</v>
      </c>
      <c r="AO11" t="s">
        <v>24</v>
      </c>
      <c r="AP11">
        <v>3.0000000000000001E-3</v>
      </c>
      <c r="AQ11" s="1">
        <v>1784</v>
      </c>
      <c r="AS11" s="4" t="s">
        <v>29</v>
      </c>
      <c r="AT11">
        <v>12096</v>
      </c>
    </row>
    <row r="12" spans="1:46" x14ac:dyDescent="0.25">
      <c r="A12" s="6" t="s">
        <v>19</v>
      </c>
      <c r="B12" s="1">
        <v>46910</v>
      </c>
      <c r="AF12" t="s">
        <v>44</v>
      </c>
      <c r="AG12">
        <v>2.3E-2</v>
      </c>
      <c r="AH12" s="1">
        <v>14215</v>
      </c>
      <c r="AI12">
        <v>47</v>
      </c>
      <c r="AJ12">
        <v>2.1999999999999999E-2</v>
      </c>
      <c r="AK12" s="1">
        <v>14262</v>
      </c>
      <c r="AL12" s="3" t="s">
        <v>30</v>
      </c>
      <c r="AM12">
        <v>1.4E-2</v>
      </c>
      <c r="AN12" s="1">
        <v>8539</v>
      </c>
      <c r="AO12" t="s">
        <v>50</v>
      </c>
      <c r="AP12">
        <v>3.0000000000000001E-3</v>
      </c>
      <c r="AQ12" s="1">
        <v>1806</v>
      </c>
      <c r="AS12" s="4" t="s">
        <v>19</v>
      </c>
      <c r="AT12">
        <v>11271</v>
      </c>
    </row>
    <row r="13" spans="1:46" x14ac:dyDescent="0.25">
      <c r="A13" s="4" t="s">
        <v>12</v>
      </c>
      <c r="B13" s="1">
        <v>44401</v>
      </c>
      <c r="AF13" t="s">
        <v>50</v>
      </c>
      <c r="AG13">
        <v>2.1999999999999999E-2</v>
      </c>
      <c r="AH13" s="1">
        <v>13556</v>
      </c>
      <c r="AI13">
        <v>120</v>
      </c>
      <c r="AJ13">
        <v>2.1000000000000001E-2</v>
      </c>
      <c r="AK13" s="1">
        <v>13676</v>
      </c>
      <c r="AL13" t="s">
        <v>13</v>
      </c>
      <c r="AM13">
        <v>1.2E-2</v>
      </c>
      <c r="AN13" s="1">
        <v>7336</v>
      </c>
      <c r="AO13" t="s">
        <v>54</v>
      </c>
      <c r="AP13">
        <v>3.0000000000000001E-3</v>
      </c>
      <c r="AQ13" s="1">
        <v>2091</v>
      </c>
      <c r="AS13" s="4" t="s">
        <v>12</v>
      </c>
      <c r="AT13">
        <v>10883</v>
      </c>
    </row>
    <row r="14" spans="1:46" x14ac:dyDescent="0.25">
      <c r="A14" s="6" t="s">
        <v>35</v>
      </c>
      <c r="B14" s="1">
        <v>42995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F14" t="s">
        <v>47</v>
      </c>
      <c r="AG14">
        <v>1.6E-2</v>
      </c>
      <c r="AH14" s="1">
        <v>9501</v>
      </c>
      <c r="AI14" s="1">
        <v>23125</v>
      </c>
      <c r="AJ14">
        <v>5.0999999999999997E-2</v>
      </c>
      <c r="AK14" s="1">
        <v>32626</v>
      </c>
      <c r="AL14" s="3" t="s">
        <v>45</v>
      </c>
      <c r="AM14">
        <v>8.9999999999999993E-3</v>
      </c>
      <c r="AN14" s="1">
        <v>5695</v>
      </c>
      <c r="AO14" t="s">
        <v>14</v>
      </c>
      <c r="AP14">
        <v>2E-3</v>
      </c>
      <c r="AQ14" s="1">
        <v>1126</v>
      </c>
      <c r="AS14" s="4" t="s">
        <v>38</v>
      </c>
      <c r="AT14">
        <v>10370</v>
      </c>
    </row>
    <row r="15" spans="1:46" x14ac:dyDescent="0.25">
      <c r="A15" s="4" t="s">
        <v>54</v>
      </c>
      <c r="B15" s="1">
        <v>41470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F15" t="s">
        <v>52</v>
      </c>
      <c r="AG15">
        <v>1.4999999999999999E-2</v>
      </c>
      <c r="AH15" s="1">
        <v>9359</v>
      </c>
      <c r="AI15">
        <v>75</v>
      </c>
      <c r="AJ15">
        <v>1.4999999999999999E-2</v>
      </c>
      <c r="AK15" s="1">
        <v>9434</v>
      </c>
      <c r="AL15" s="3" t="s">
        <v>57</v>
      </c>
      <c r="AM15">
        <v>8.9999999999999993E-3</v>
      </c>
      <c r="AN15" s="1">
        <v>5778</v>
      </c>
      <c r="AO15" t="s">
        <v>56</v>
      </c>
      <c r="AP15">
        <v>2E-3</v>
      </c>
      <c r="AQ15" s="1">
        <v>1501</v>
      </c>
      <c r="AS15" s="4" t="s">
        <v>54</v>
      </c>
      <c r="AT15">
        <v>9886</v>
      </c>
    </row>
    <row r="16" spans="1:46" x14ac:dyDescent="0.25">
      <c r="A16" s="4" t="s">
        <v>19</v>
      </c>
      <c r="B16" s="1">
        <v>40585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F16" s="3" t="s">
        <v>10</v>
      </c>
      <c r="AG16">
        <v>1.0999999999999999E-2</v>
      </c>
      <c r="AH16" s="1">
        <v>6777</v>
      </c>
      <c r="AI16">
        <v>30</v>
      </c>
      <c r="AJ16">
        <v>1.0999999999999999E-2</v>
      </c>
      <c r="AK16" s="1">
        <v>6807</v>
      </c>
      <c r="AL16" s="3" t="s">
        <v>36</v>
      </c>
      <c r="AM16">
        <v>8.0000000000000002E-3</v>
      </c>
      <c r="AN16" s="1">
        <v>4877</v>
      </c>
      <c r="AO16" t="s">
        <v>38</v>
      </c>
      <c r="AP16">
        <v>2E-3</v>
      </c>
      <c r="AQ16" s="1">
        <v>1190</v>
      </c>
      <c r="AS16" s="5" t="s">
        <v>42</v>
      </c>
      <c r="AT16">
        <v>9480</v>
      </c>
    </row>
    <row r="17" spans="1:46" x14ac:dyDescent="0.25">
      <c r="A17" s="5" t="s">
        <v>42</v>
      </c>
      <c r="B17" s="1">
        <v>40107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3"/>
      <c r="X17" s="21"/>
      <c r="Y17" s="21"/>
      <c r="Z17" s="21"/>
      <c r="AA17" s="21"/>
      <c r="AB17" s="23"/>
      <c r="AC17" s="21"/>
      <c r="AD17" s="21"/>
      <c r="AE17" s="21"/>
      <c r="AF17" s="3" t="s">
        <v>17</v>
      </c>
      <c r="AG17">
        <v>6.0000000000000001E-3</v>
      </c>
      <c r="AH17" s="1">
        <v>3573</v>
      </c>
      <c r="AI17">
        <v>19</v>
      </c>
      <c r="AJ17">
        <v>6.0000000000000001E-3</v>
      </c>
      <c r="AK17" s="1">
        <v>3592</v>
      </c>
      <c r="AL17" t="s">
        <v>53</v>
      </c>
      <c r="AM17">
        <v>8.0000000000000002E-3</v>
      </c>
      <c r="AN17" s="1">
        <v>5057</v>
      </c>
      <c r="AO17" t="s">
        <v>52</v>
      </c>
      <c r="AP17">
        <v>2E-3</v>
      </c>
      <c r="AQ17" s="1">
        <v>1466</v>
      </c>
      <c r="AS17" s="6" t="s">
        <v>35</v>
      </c>
      <c r="AT17">
        <v>7995</v>
      </c>
    </row>
    <row r="18" spans="1:46" x14ac:dyDescent="0.25">
      <c r="A18" s="4" t="s">
        <v>22</v>
      </c>
      <c r="B18" s="1">
        <v>34360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F18" s="3" t="s">
        <v>41</v>
      </c>
      <c r="AG18">
        <v>5.0000000000000001E-3</v>
      </c>
      <c r="AH18" s="1">
        <v>2856</v>
      </c>
      <c r="AI18">
        <v>31</v>
      </c>
      <c r="AJ18">
        <v>5.0000000000000001E-3</v>
      </c>
      <c r="AK18" s="1">
        <v>2887</v>
      </c>
      <c r="AL18" s="3" t="s">
        <v>51</v>
      </c>
      <c r="AM18">
        <v>6.0000000000000001E-3</v>
      </c>
      <c r="AN18" s="1">
        <v>3570</v>
      </c>
      <c r="AO18" t="s">
        <v>10</v>
      </c>
      <c r="AP18">
        <v>1E-3</v>
      </c>
      <c r="AQ18">
        <v>308</v>
      </c>
      <c r="AS18" s="4" t="s">
        <v>22</v>
      </c>
      <c r="AT18">
        <v>7848</v>
      </c>
    </row>
    <row r="19" spans="1:46" x14ac:dyDescent="0.25">
      <c r="A19" s="5" t="s">
        <v>20</v>
      </c>
      <c r="B19" s="1">
        <v>32064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F19" s="3" t="s">
        <v>27</v>
      </c>
      <c r="AG19">
        <v>4.0000000000000001E-3</v>
      </c>
      <c r="AH19" s="1">
        <v>2378</v>
      </c>
      <c r="AI19">
        <v>10</v>
      </c>
      <c r="AJ19">
        <v>4.0000000000000001E-3</v>
      </c>
      <c r="AK19" s="1">
        <v>2388</v>
      </c>
      <c r="AL19" s="3" t="s">
        <v>26</v>
      </c>
      <c r="AM19">
        <v>4.0000000000000001E-3</v>
      </c>
      <c r="AN19" s="1">
        <v>2617</v>
      </c>
      <c r="AO19" t="s">
        <v>31</v>
      </c>
      <c r="AP19">
        <v>1E-3</v>
      </c>
      <c r="AQ19">
        <v>368</v>
      </c>
      <c r="AS19" s="5" t="s">
        <v>23</v>
      </c>
      <c r="AT19">
        <v>6197</v>
      </c>
    </row>
    <row r="20" spans="1:46" x14ac:dyDescent="0.25">
      <c r="A20" s="36" t="s">
        <v>80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F20" s="3" t="s">
        <v>32</v>
      </c>
      <c r="AG20">
        <v>4.0000000000000001E-3</v>
      </c>
      <c r="AH20" s="1">
        <v>2446</v>
      </c>
      <c r="AI20">
        <v>31</v>
      </c>
      <c r="AJ20">
        <v>4.0000000000000001E-3</v>
      </c>
      <c r="AK20" s="1">
        <v>2477</v>
      </c>
      <c r="AL20" s="3" t="s">
        <v>33</v>
      </c>
      <c r="AM20">
        <v>2E-3</v>
      </c>
      <c r="AN20" s="1">
        <v>1105</v>
      </c>
      <c r="AO20" t="s">
        <v>49</v>
      </c>
      <c r="AP20">
        <v>1E-3</v>
      </c>
      <c r="AQ20">
        <v>342</v>
      </c>
      <c r="AS20" s="5" t="s">
        <v>20</v>
      </c>
      <c r="AT20">
        <v>6134</v>
      </c>
    </row>
    <row r="21" spans="1:46" x14ac:dyDescent="0.25">
      <c r="A21" s="5" t="s">
        <v>11</v>
      </c>
      <c r="B21" s="1">
        <v>29559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L21" s="3" t="s">
        <v>15</v>
      </c>
      <c r="AM21">
        <v>0</v>
      </c>
      <c r="AN21">
        <v>244</v>
      </c>
      <c r="AO21" t="s">
        <v>44</v>
      </c>
      <c r="AP21">
        <v>1E-3</v>
      </c>
      <c r="AQ21">
        <v>573</v>
      </c>
      <c r="AS21" s="5" t="s">
        <v>11</v>
      </c>
      <c r="AT21">
        <v>5927</v>
      </c>
    </row>
    <row r="22" spans="1:46" x14ac:dyDescent="0.25">
      <c r="A22" s="4" t="s">
        <v>25</v>
      </c>
      <c r="B22" s="1">
        <v>29425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L22" s="3" t="s">
        <v>48</v>
      </c>
      <c r="AM22">
        <v>0</v>
      </c>
      <c r="AN22">
        <v>282</v>
      </c>
      <c r="AO22" t="s">
        <v>47</v>
      </c>
      <c r="AP22">
        <v>1E-3</v>
      </c>
      <c r="AQ22">
        <v>662</v>
      </c>
      <c r="AS22" s="6" t="s">
        <v>8</v>
      </c>
      <c r="AT22">
        <v>5880</v>
      </c>
    </row>
    <row r="23" spans="1:46" x14ac:dyDescent="0.25">
      <c r="A23" s="6" t="s">
        <v>8</v>
      </c>
      <c r="B23" s="1">
        <v>24766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O23" t="s">
        <v>16</v>
      </c>
      <c r="AP23">
        <v>0</v>
      </c>
      <c r="AQ23">
        <v>23</v>
      </c>
      <c r="AS23" s="4" t="s">
        <v>25</v>
      </c>
      <c r="AT23">
        <v>5088</v>
      </c>
    </row>
    <row r="24" spans="1:46" x14ac:dyDescent="0.25">
      <c r="A24" s="5" t="s">
        <v>23</v>
      </c>
      <c r="B24" s="1">
        <v>24466</v>
      </c>
      <c r="C24" s="21"/>
      <c r="D24" s="21"/>
      <c r="E24" s="21"/>
      <c r="F24" s="21"/>
      <c r="G24" s="21"/>
      <c r="H24" s="21"/>
      <c r="I24" s="23"/>
      <c r="J24" s="21"/>
      <c r="K24" s="21"/>
      <c r="L24" s="21"/>
      <c r="M24" s="21"/>
      <c r="N24" s="23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O24" t="s">
        <v>21</v>
      </c>
      <c r="AP24">
        <v>0</v>
      </c>
      <c r="AQ24">
        <v>90</v>
      </c>
      <c r="AS24" s="6" t="s">
        <v>22</v>
      </c>
      <c r="AT24">
        <v>4236</v>
      </c>
    </row>
    <row r="25" spans="1:46" x14ac:dyDescent="0.25">
      <c r="A25" s="6" t="s">
        <v>22</v>
      </c>
      <c r="B25" s="1">
        <v>22602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O25" t="s">
        <v>34</v>
      </c>
      <c r="AP25">
        <v>0</v>
      </c>
      <c r="AQ25">
        <v>132</v>
      </c>
      <c r="AS25" s="6" t="s">
        <v>32</v>
      </c>
      <c r="AT25">
        <v>3370</v>
      </c>
    </row>
    <row r="26" spans="1:46" x14ac:dyDescent="0.25">
      <c r="A26" s="36" t="s">
        <v>60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O26" t="s">
        <v>37</v>
      </c>
      <c r="AP26">
        <v>0</v>
      </c>
      <c r="AQ26">
        <v>90</v>
      </c>
      <c r="AS26" s="5" t="s">
        <v>57</v>
      </c>
      <c r="AT26">
        <v>2797</v>
      </c>
    </row>
    <row r="27" spans="1:46" x14ac:dyDescent="0.25">
      <c r="A27" s="4" t="s">
        <v>44</v>
      </c>
      <c r="B27" s="1">
        <v>14215</v>
      </c>
      <c r="AO27" t="s">
        <v>40</v>
      </c>
      <c r="AP27">
        <v>0</v>
      </c>
      <c r="AQ27">
        <v>6</v>
      </c>
      <c r="AS27" s="6" t="s">
        <v>29</v>
      </c>
      <c r="AT27">
        <v>2405</v>
      </c>
    </row>
    <row r="28" spans="1:46" x14ac:dyDescent="0.25">
      <c r="A28" s="4" t="s">
        <v>50</v>
      </c>
      <c r="B28" s="1">
        <v>13556</v>
      </c>
      <c r="AO28" t="s">
        <v>43</v>
      </c>
      <c r="AP28">
        <v>0</v>
      </c>
      <c r="AQ28">
        <v>31</v>
      </c>
      <c r="AS28" s="5" t="s">
        <v>30</v>
      </c>
      <c r="AT28">
        <v>2400</v>
      </c>
    </row>
    <row r="29" spans="1:46" x14ac:dyDescent="0.25">
      <c r="A29" s="6" t="s">
        <v>25</v>
      </c>
      <c r="B29" s="1">
        <v>10662</v>
      </c>
      <c r="AO29" t="s">
        <v>46</v>
      </c>
      <c r="AP29">
        <v>0</v>
      </c>
      <c r="AQ29">
        <v>6</v>
      </c>
      <c r="AS29" s="4" t="s">
        <v>44</v>
      </c>
      <c r="AT29">
        <v>2383</v>
      </c>
    </row>
    <row r="30" spans="1:46" x14ac:dyDescent="0.25">
      <c r="A30" s="5" t="s">
        <v>39</v>
      </c>
      <c r="B30" s="1">
        <v>9768</v>
      </c>
      <c r="AS30" s="6" t="s">
        <v>25</v>
      </c>
      <c r="AT30">
        <v>1575</v>
      </c>
    </row>
    <row r="31" spans="1:46" x14ac:dyDescent="0.25">
      <c r="A31" s="36" t="s">
        <v>81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S31" s="4" t="s">
        <v>17</v>
      </c>
      <c r="AT31">
        <v>1493</v>
      </c>
    </row>
    <row r="32" spans="1:46" x14ac:dyDescent="0.25">
      <c r="A32" s="6" t="s">
        <v>32</v>
      </c>
      <c r="B32" s="1">
        <v>9738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23"/>
      <c r="P32" s="23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S32" s="4" t="s">
        <v>50</v>
      </c>
      <c r="AT32">
        <v>1384</v>
      </c>
    </row>
    <row r="33" spans="1:46" x14ac:dyDescent="0.25">
      <c r="A33" s="4" t="s">
        <v>47</v>
      </c>
      <c r="B33" s="1">
        <v>9501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23"/>
      <c r="P33" s="23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S33" s="5" t="s">
        <v>39</v>
      </c>
      <c r="AT33">
        <v>1310</v>
      </c>
    </row>
    <row r="34" spans="1:46" x14ac:dyDescent="0.25">
      <c r="A34" s="36" t="s">
        <v>61</v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23"/>
      <c r="P34" s="23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S34" s="4" t="s">
        <v>52</v>
      </c>
      <c r="AT34">
        <v>1300</v>
      </c>
    </row>
    <row r="35" spans="1:46" x14ac:dyDescent="0.25">
      <c r="A35" s="4" t="s">
        <v>52</v>
      </c>
      <c r="B35" s="1">
        <v>9359</v>
      </c>
      <c r="C35" s="61"/>
      <c r="D35" s="61"/>
      <c r="E35" s="61"/>
      <c r="F35" s="61"/>
      <c r="G35" s="61"/>
      <c r="H35" s="61"/>
      <c r="I35" s="23"/>
      <c r="J35" s="61"/>
      <c r="K35" s="61"/>
      <c r="L35" s="61"/>
      <c r="M35" s="61"/>
      <c r="N35" s="61"/>
      <c r="O35" s="23"/>
      <c r="P35" s="23"/>
      <c r="Q35" s="61"/>
      <c r="R35" s="61"/>
      <c r="S35" s="61"/>
      <c r="T35" s="61"/>
      <c r="U35" s="61"/>
      <c r="V35" s="61"/>
      <c r="W35" s="23"/>
      <c r="X35" s="61"/>
      <c r="Y35" s="61"/>
      <c r="Z35" s="61"/>
      <c r="AA35" s="61"/>
      <c r="AB35" s="61"/>
      <c r="AS35" s="5" t="s">
        <v>36</v>
      </c>
      <c r="AT35">
        <v>1286</v>
      </c>
    </row>
    <row r="36" spans="1:46" x14ac:dyDescent="0.25">
      <c r="A36" s="36" t="s">
        <v>85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S36" s="4" t="s">
        <v>10</v>
      </c>
      <c r="AT36">
        <v>1186</v>
      </c>
    </row>
    <row r="37" spans="1:46" x14ac:dyDescent="0.25">
      <c r="A37" s="6" t="s">
        <v>29</v>
      </c>
      <c r="B37" s="1">
        <v>8216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S37" s="5" t="s">
        <v>13</v>
      </c>
      <c r="AT37">
        <v>1039</v>
      </c>
    </row>
    <row r="38" spans="1:46" x14ac:dyDescent="0.25">
      <c r="A38" s="5" t="s">
        <v>13</v>
      </c>
      <c r="B38" s="1">
        <v>7336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S38" s="5" t="s">
        <v>51</v>
      </c>
      <c r="AT38">
        <v>810</v>
      </c>
    </row>
    <row r="39" spans="1:46" x14ac:dyDescent="0.25">
      <c r="A39" s="5" t="s">
        <v>53</v>
      </c>
      <c r="B39" s="1">
        <v>5057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S39" s="4" t="s">
        <v>32</v>
      </c>
      <c r="AT39">
        <v>743</v>
      </c>
    </row>
    <row r="40" spans="1:46" x14ac:dyDescent="0.25">
      <c r="A40" s="36" t="s">
        <v>69</v>
      </c>
      <c r="B40" s="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23"/>
      <c r="P40" s="23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S40" s="5" t="s">
        <v>45</v>
      </c>
      <c r="AT40">
        <v>565</v>
      </c>
    </row>
    <row r="41" spans="1:46" x14ac:dyDescent="0.25">
      <c r="A41" s="6" t="s">
        <v>54</v>
      </c>
      <c r="B41" s="62">
        <v>2091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23"/>
      <c r="P41" s="23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S41" s="6" t="s">
        <v>24</v>
      </c>
      <c r="AT41">
        <v>539</v>
      </c>
    </row>
    <row r="42" spans="1:46" x14ac:dyDescent="0.25">
      <c r="A42" s="6" t="s">
        <v>50</v>
      </c>
      <c r="B42" s="1">
        <v>1806</v>
      </c>
      <c r="C42" s="61"/>
      <c r="D42" s="61"/>
      <c r="E42" s="61"/>
      <c r="F42" s="61"/>
      <c r="G42" s="61"/>
      <c r="H42" s="61"/>
      <c r="I42" s="61"/>
      <c r="K42" s="61"/>
      <c r="L42" s="61"/>
      <c r="M42" s="61"/>
      <c r="N42" s="61"/>
      <c r="O42" s="23"/>
      <c r="P42" s="23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S42" s="6" t="s">
        <v>54</v>
      </c>
      <c r="AT42">
        <v>535</v>
      </c>
    </row>
    <row r="43" spans="1:46" x14ac:dyDescent="0.25">
      <c r="A43" s="6" t="s">
        <v>52</v>
      </c>
      <c r="B43" s="1">
        <v>1466</v>
      </c>
      <c r="C43" s="61"/>
      <c r="D43" s="61"/>
      <c r="E43" s="61"/>
      <c r="F43" s="61"/>
      <c r="G43" s="61"/>
      <c r="H43" s="61"/>
      <c r="J43" s="1"/>
      <c r="K43" s="61"/>
      <c r="L43" s="61"/>
      <c r="M43" s="61"/>
      <c r="N43" s="61"/>
      <c r="O43" s="23"/>
      <c r="P43" s="23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S43" s="6" t="s">
        <v>50</v>
      </c>
      <c r="AT43">
        <v>528</v>
      </c>
    </row>
    <row r="44" spans="1:46" x14ac:dyDescent="0.25">
      <c r="A44" s="6" t="s">
        <v>38</v>
      </c>
      <c r="B44" s="1">
        <v>1190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S44" s="5" t="s">
        <v>26</v>
      </c>
      <c r="AT44">
        <v>527</v>
      </c>
    </row>
    <row r="45" spans="1:46" x14ac:dyDescent="0.25">
      <c r="A45" s="12" t="s">
        <v>14</v>
      </c>
      <c r="B45" s="65">
        <v>1126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M45" s="6"/>
      <c r="AN45">
        <v>38</v>
      </c>
      <c r="AO45" s="13" t="s">
        <v>10</v>
      </c>
      <c r="AP45" s="14">
        <v>6777</v>
      </c>
      <c r="AS45" s="4" t="s">
        <v>47</v>
      </c>
      <c r="AT45">
        <v>521</v>
      </c>
    </row>
    <row r="46" spans="1:46" x14ac:dyDescent="0.25">
      <c r="A46" s="6" t="s">
        <v>47</v>
      </c>
      <c r="B46">
        <v>662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M46" s="6"/>
      <c r="AN46">
        <v>41</v>
      </c>
      <c r="AO46" s="13" t="s">
        <v>17</v>
      </c>
      <c r="AP46" s="14">
        <v>3573</v>
      </c>
      <c r="AS46" s="6" t="s">
        <v>56</v>
      </c>
      <c r="AT46">
        <v>482</v>
      </c>
    </row>
    <row r="47" spans="1:46" x14ac:dyDescent="0.25">
      <c r="A47" s="6" t="s">
        <v>44</v>
      </c>
      <c r="B47" s="65">
        <v>573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M47" s="8"/>
      <c r="AN47">
        <v>42</v>
      </c>
      <c r="AO47" s="13" t="s">
        <v>41</v>
      </c>
      <c r="AP47" s="14">
        <v>2856</v>
      </c>
      <c r="AS47" s="5" t="s">
        <v>53</v>
      </c>
      <c r="AT47">
        <v>475</v>
      </c>
    </row>
    <row r="48" spans="1:46" x14ac:dyDescent="0.25"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M48" s="8"/>
      <c r="AN48">
        <v>44</v>
      </c>
      <c r="AO48" s="13" t="s">
        <v>32</v>
      </c>
      <c r="AP48" s="14">
        <v>2446</v>
      </c>
      <c r="AS48" s="6" t="s">
        <v>14</v>
      </c>
      <c r="AT48">
        <v>441</v>
      </c>
    </row>
    <row r="49" spans="1:46" x14ac:dyDescent="0.25"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M49" s="8"/>
      <c r="AN49">
        <v>46</v>
      </c>
      <c r="AO49" s="13" t="s">
        <v>27</v>
      </c>
      <c r="AP49" s="14">
        <v>2378</v>
      </c>
      <c r="AS49" s="4" t="s">
        <v>41</v>
      </c>
      <c r="AT49">
        <v>360</v>
      </c>
    </row>
    <row r="50" spans="1:46" x14ac:dyDescent="0.25">
      <c r="A50" t="s">
        <v>59</v>
      </c>
      <c r="AM50" s="8"/>
      <c r="AN50">
        <v>50</v>
      </c>
      <c r="AO50" s="11" t="s">
        <v>56</v>
      </c>
      <c r="AP50" s="10">
        <v>1501</v>
      </c>
      <c r="AS50" s="6" t="s">
        <v>31</v>
      </c>
      <c r="AT50">
        <v>270</v>
      </c>
    </row>
    <row r="51" spans="1:46" x14ac:dyDescent="0.25">
      <c r="A51" s="79" t="s">
        <v>86</v>
      </c>
      <c r="B51" s="79"/>
      <c r="AM51" s="7" t="s">
        <v>60</v>
      </c>
      <c r="AN51">
        <v>56</v>
      </c>
      <c r="AO51" s="11" t="s">
        <v>31</v>
      </c>
      <c r="AP51" s="9">
        <v>368</v>
      </c>
      <c r="AS51" s="6" t="s">
        <v>44</v>
      </c>
      <c r="AT51">
        <v>210</v>
      </c>
    </row>
    <row r="52" spans="1:46" x14ac:dyDescent="0.25">
      <c r="A52" s="79">
        <v>1</v>
      </c>
      <c r="B52" s="79"/>
      <c r="AS52" s="6" t="s">
        <v>10</v>
      </c>
      <c r="AT52">
        <v>169</v>
      </c>
    </row>
    <row r="53" spans="1:46" x14ac:dyDescent="0.25">
      <c r="A53" s="80">
        <v>2</v>
      </c>
      <c r="B53" s="80"/>
      <c r="AM53" s="6"/>
      <c r="AN53">
        <v>39</v>
      </c>
      <c r="AS53" s="5" t="s">
        <v>33</v>
      </c>
      <c r="AT53">
        <v>131</v>
      </c>
    </row>
    <row r="54" spans="1:46" x14ac:dyDescent="0.25">
      <c r="A54" s="81">
        <v>3</v>
      </c>
      <c r="B54" s="81"/>
      <c r="AM54" s="6"/>
      <c r="AN54">
        <v>42</v>
      </c>
      <c r="AS54" s="6" t="s">
        <v>34</v>
      </c>
      <c r="AT54">
        <v>121</v>
      </c>
    </row>
    <row r="55" spans="1:46" x14ac:dyDescent="0.25">
      <c r="A55">
        <v>4</v>
      </c>
      <c r="AS55" s="6" t="s">
        <v>49</v>
      </c>
      <c r="AT55">
        <v>92</v>
      </c>
    </row>
    <row r="56" spans="1:46" x14ac:dyDescent="0.25">
      <c r="A56">
        <v>5</v>
      </c>
      <c r="AS56" s="6" t="s">
        <v>21</v>
      </c>
      <c r="AT56">
        <v>82</v>
      </c>
    </row>
    <row r="57" spans="1:46" x14ac:dyDescent="0.25">
      <c r="A57">
        <v>6</v>
      </c>
      <c r="AS57" s="6" t="s">
        <v>37</v>
      </c>
      <c r="AT57">
        <v>64</v>
      </c>
    </row>
    <row r="58" spans="1:46" x14ac:dyDescent="0.25">
      <c r="A58">
        <v>7</v>
      </c>
      <c r="AS58" s="5" t="s">
        <v>48</v>
      </c>
      <c r="AT58">
        <v>30</v>
      </c>
    </row>
    <row r="59" spans="1:46" x14ac:dyDescent="0.25">
      <c r="A59">
        <v>8</v>
      </c>
      <c r="AS59" s="5" t="s">
        <v>15</v>
      </c>
      <c r="AT59">
        <v>26</v>
      </c>
    </row>
    <row r="60" spans="1:46" x14ac:dyDescent="0.25">
      <c r="A60">
        <v>9</v>
      </c>
      <c r="AS60" s="6" t="s">
        <v>47</v>
      </c>
      <c r="AT60">
        <v>22</v>
      </c>
    </row>
    <row r="61" spans="1:46" x14ac:dyDescent="0.25">
      <c r="A61">
        <v>0</v>
      </c>
      <c r="AS61" s="6" t="s">
        <v>40</v>
      </c>
      <c r="AT61">
        <v>12</v>
      </c>
    </row>
    <row r="62" spans="1:46" x14ac:dyDescent="0.25">
      <c r="A62" s="78" t="s">
        <v>71</v>
      </c>
      <c r="B62" s="78"/>
      <c r="AS62" s="6" t="s">
        <v>46</v>
      </c>
      <c r="AT62">
        <v>12</v>
      </c>
    </row>
    <row r="63" spans="1:46" x14ac:dyDescent="0.25">
      <c r="A63" s="78" t="s">
        <v>72</v>
      </c>
      <c r="B63" s="78"/>
      <c r="AS63" s="6" t="s">
        <v>43</v>
      </c>
      <c r="AT63">
        <v>12</v>
      </c>
    </row>
    <row r="64" spans="1:46" x14ac:dyDescent="0.25">
      <c r="A64" t="s">
        <v>87</v>
      </c>
      <c r="AS64" s="6" t="s">
        <v>16</v>
      </c>
      <c r="AT64">
        <v>10</v>
      </c>
    </row>
    <row r="65" spans="1:2" x14ac:dyDescent="0.25">
      <c r="A65" t="s">
        <v>61</v>
      </c>
    </row>
    <row r="66" spans="1:2" x14ac:dyDescent="0.25">
      <c r="A66" t="s">
        <v>62</v>
      </c>
    </row>
    <row r="67" spans="1:2" x14ac:dyDescent="0.25">
      <c r="A67" t="s">
        <v>63</v>
      </c>
    </row>
    <row r="68" spans="1:2" x14ac:dyDescent="0.25">
      <c r="A68" t="s">
        <v>64</v>
      </c>
    </row>
    <row r="69" spans="1:2" x14ac:dyDescent="0.25">
      <c r="A69" t="s">
        <v>65</v>
      </c>
    </row>
    <row r="70" spans="1:2" x14ac:dyDescent="0.25">
      <c r="A70" s="78" t="s">
        <v>66</v>
      </c>
      <c r="B70" s="78"/>
    </row>
    <row r="71" spans="1:2" x14ac:dyDescent="0.25">
      <c r="A71" t="s">
        <v>67</v>
      </c>
    </row>
    <row r="72" spans="1:2" x14ac:dyDescent="0.25">
      <c r="A72" t="s">
        <v>68</v>
      </c>
    </row>
    <row r="73" spans="1:2" x14ac:dyDescent="0.25">
      <c r="A73" s="78" t="s">
        <v>69</v>
      </c>
      <c r="B73" s="78"/>
    </row>
    <row r="74" spans="1:2" x14ac:dyDescent="0.25">
      <c r="A74" s="78" t="s">
        <v>70</v>
      </c>
      <c r="B74" s="78"/>
    </row>
    <row r="75" spans="1:2" x14ac:dyDescent="0.25">
      <c r="A75" s="78" t="s">
        <v>73</v>
      </c>
      <c r="B75" s="78"/>
    </row>
    <row r="76" spans="1:2" x14ac:dyDescent="0.25">
      <c r="A76" s="78" t="s">
        <v>74</v>
      </c>
      <c r="B76" s="78"/>
    </row>
    <row r="77" spans="1:2" x14ac:dyDescent="0.25">
      <c r="A77" t="s">
        <v>75</v>
      </c>
    </row>
    <row r="78" spans="1:2" x14ac:dyDescent="0.25">
      <c r="A78" t="s">
        <v>76</v>
      </c>
    </row>
    <row r="79" spans="1:2" x14ac:dyDescent="0.25">
      <c r="A79" t="s">
        <v>77</v>
      </c>
    </row>
    <row r="80" spans="1:2" x14ac:dyDescent="0.25">
      <c r="A80" t="s">
        <v>78</v>
      </c>
    </row>
    <row r="81" spans="1:2" x14ac:dyDescent="0.25">
      <c r="A81" t="s">
        <v>89</v>
      </c>
    </row>
    <row r="82" spans="1:2" x14ac:dyDescent="0.25">
      <c r="A82" t="s">
        <v>88</v>
      </c>
    </row>
    <row r="83" spans="1:2" x14ac:dyDescent="0.25">
      <c r="A83" s="78" t="s">
        <v>79</v>
      </c>
      <c r="B83" s="78"/>
    </row>
    <row r="84" spans="1:2" x14ac:dyDescent="0.25">
      <c r="A84" s="78" t="s">
        <v>80</v>
      </c>
      <c r="B84" s="78"/>
    </row>
    <row r="85" spans="1:2" x14ac:dyDescent="0.25">
      <c r="A85" t="s">
        <v>81</v>
      </c>
    </row>
    <row r="86" spans="1:2" x14ac:dyDescent="0.25">
      <c r="A86" t="s">
        <v>60</v>
      </c>
    </row>
    <row r="87" spans="1:2" x14ac:dyDescent="0.25">
      <c r="A87" s="78" t="s">
        <v>84</v>
      </c>
      <c r="B87" s="78"/>
    </row>
    <row r="88" spans="1:2" x14ac:dyDescent="0.25">
      <c r="A88" t="s">
        <v>82</v>
      </c>
    </row>
    <row r="89" spans="1:2" x14ac:dyDescent="0.25">
      <c r="A89" t="s">
        <v>83</v>
      </c>
    </row>
    <row r="90" spans="1:2" x14ac:dyDescent="0.25">
      <c r="A90" t="s">
        <v>85</v>
      </c>
    </row>
    <row r="91" spans="1:2" x14ac:dyDescent="0.25">
      <c r="A91" t="s">
        <v>90</v>
      </c>
    </row>
    <row r="92" spans="1:2" x14ac:dyDescent="0.25">
      <c r="A92" t="s">
        <v>91</v>
      </c>
    </row>
  </sheetData>
  <sortState ref="AO2:AQ29">
    <sortCondition descending="1" ref="AP2:AP29"/>
  </sortState>
  <conditionalFormatting sqref="AG2:AG2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{3077A4F4-FF66-4A84-8171-1FFE474FBECB}</x14:id>
        </ext>
      </extLst>
    </cfRule>
  </conditionalFormatting>
  <conditionalFormatting sqref="AM2:AM2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{0907A478-A48C-4484-AA4E-06E9B36634AE}</x14:id>
        </ext>
      </extLst>
    </cfRule>
  </conditionalFormatting>
  <conditionalFormatting sqref="AP2:AP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{05907E2D-9F89-4B83-97F6-A0BE5FF8EAB9}</x14:id>
        </ext>
      </extLst>
    </cfRule>
  </conditionalFormatting>
  <conditionalFormatting sqref="AT1:AT6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{FE6A4D5A-23AC-4756-9BBB-907D0DA82224}</x14:id>
        </ext>
      </extLst>
    </cfRule>
  </conditionalFormatting>
  <conditionalFormatting sqref="B32:B33 AP45:AP51 B1:B19 B21:B25 B27:B30 B35 B42:B43 B37:B40 J43 B45:B4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{521CFE1C-246D-4FFF-A22B-763D96772678}</x14:id>
        </ext>
      </extLst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77A4F4-FF66-4A84-8171-1FFE474FBE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AG2:AG20</xm:sqref>
        </x14:conditionalFormatting>
        <x14:conditionalFormatting xmlns:xm="http://schemas.microsoft.com/office/excel/2006/main">
          <x14:cfRule type="dataBar" id="{0907A478-A48C-4484-AA4E-06E9B36634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AM2:AM22</xm:sqref>
        </x14:conditionalFormatting>
        <x14:conditionalFormatting xmlns:xm="http://schemas.microsoft.com/office/excel/2006/main">
          <x14:cfRule type="dataBar" id="{05907E2D-9F89-4B83-97F6-A0BE5FF8EA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AP2:AP29</xm:sqref>
        </x14:conditionalFormatting>
        <x14:conditionalFormatting xmlns:xm="http://schemas.microsoft.com/office/excel/2006/main">
          <x14:cfRule type="dataBar" id="{FE6A4D5A-23AC-4756-9BBB-907D0DA822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AT1:AT64</xm:sqref>
        </x14:conditionalFormatting>
        <x14:conditionalFormatting xmlns:xm="http://schemas.microsoft.com/office/excel/2006/main">
          <x14:cfRule type="dataBar" id="{521CFE1C-246D-4FFF-A22B-763D967726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B32:B33 AP45:AP51 B1:B19 B21:B25 B27:B30 B35 B42:B43 B37:B40 J43 B45:B47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opLeftCell="A31" workbookViewId="0">
      <selection activeCell="N48" sqref="N48:O4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t="s">
        <v>6</v>
      </c>
    </row>
    <row r="2" spans="1:15" x14ac:dyDescent="0.25">
      <c r="A2" s="2" t="s">
        <v>35</v>
      </c>
      <c r="B2">
        <v>0.214</v>
      </c>
      <c r="C2" s="1">
        <v>130866</v>
      </c>
      <c r="D2" s="1">
        <v>1154</v>
      </c>
      <c r="E2">
        <v>0.20699999999999999</v>
      </c>
      <c r="F2" s="1">
        <v>132020</v>
      </c>
      <c r="G2" s="2" t="s">
        <v>9</v>
      </c>
      <c r="H2">
        <v>0.22500000000000001</v>
      </c>
      <c r="I2" s="1">
        <v>137537</v>
      </c>
      <c r="K2">
        <v>0.56499999999999995</v>
      </c>
      <c r="L2" s="1">
        <v>344817</v>
      </c>
      <c r="N2" s="5" t="s">
        <v>9</v>
      </c>
      <c r="O2" s="1">
        <v>137537</v>
      </c>
    </row>
    <row r="3" spans="1:15" x14ac:dyDescent="0.25">
      <c r="A3" s="2" t="s">
        <v>8</v>
      </c>
      <c r="B3">
        <v>0.113</v>
      </c>
      <c r="C3" s="1">
        <v>69141</v>
      </c>
      <c r="D3">
        <v>525</v>
      </c>
      <c r="E3">
        <v>0.109</v>
      </c>
      <c r="F3" s="1">
        <v>69666</v>
      </c>
      <c r="G3" s="2" t="s">
        <v>58</v>
      </c>
      <c r="H3">
        <v>0.16800000000000001</v>
      </c>
      <c r="I3" s="1">
        <v>102676</v>
      </c>
      <c r="J3" t="s">
        <v>12</v>
      </c>
      <c r="K3">
        <v>0.14099999999999999</v>
      </c>
      <c r="L3" s="1">
        <v>86275</v>
      </c>
      <c r="N3" s="4" t="s">
        <v>35</v>
      </c>
      <c r="O3" s="1">
        <v>130866</v>
      </c>
    </row>
    <row r="4" spans="1:15" x14ac:dyDescent="0.25">
      <c r="A4" s="2" t="s">
        <v>29</v>
      </c>
      <c r="B4">
        <v>9.0999999999999998E-2</v>
      </c>
      <c r="C4" s="1">
        <v>55846</v>
      </c>
      <c r="D4">
        <v>482</v>
      </c>
      <c r="E4">
        <v>8.7999999999999995E-2</v>
      </c>
      <c r="F4" s="1">
        <v>56328</v>
      </c>
      <c r="G4" s="2" t="s">
        <v>55</v>
      </c>
      <c r="H4">
        <v>0.108</v>
      </c>
      <c r="I4" s="1">
        <v>65789</v>
      </c>
      <c r="J4" t="s">
        <v>19</v>
      </c>
      <c r="K4">
        <v>7.6999999999999999E-2</v>
      </c>
      <c r="L4" s="1">
        <v>46910</v>
      </c>
      <c r="N4" s="5" t="s">
        <v>58</v>
      </c>
      <c r="O4" s="1">
        <v>102676</v>
      </c>
    </row>
    <row r="5" spans="1:15" x14ac:dyDescent="0.25">
      <c r="A5" s="2" t="s">
        <v>38</v>
      </c>
      <c r="B5">
        <v>8.3000000000000004E-2</v>
      </c>
      <c r="C5" s="1">
        <v>50805</v>
      </c>
      <c r="D5">
        <v>140</v>
      </c>
      <c r="E5">
        <v>0.08</v>
      </c>
      <c r="F5" s="1">
        <v>50945</v>
      </c>
      <c r="G5" s="2" t="s">
        <v>28</v>
      </c>
      <c r="H5">
        <v>0.106</v>
      </c>
      <c r="I5" s="1">
        <v>64818</v>
      </c>
      <c r="J5" t="s">
        <v>35</v>
      </c>
      <c r="K5">
        <v>7.0000000000000007E-2</v>
      </c>
      <c r="L5" s="1">
        <v>42995</v>
      </c>
      <c r="N5" s="6" t="s">
        <v>12</v>
      </c>
      <c r="O5" s="1">
        <v>86275</v>
      </c>
    </row>
    <row r="6" spans="1:15" x14ac:dyDescent="0.25">
      <c r="A6" t="s">
        <v>14</v>
      </c>
      <c r="B6">
        <v>0.08</v>
      </c>
      <c r="C6" s="1">
        <v>49016</v>
      </c>
      <c r="D6">
        <v>365</v>
      </c>
      <c r="E6">
        <v>7.6999999999999999E-2</v>
      </c>
      <c r="F6" s="1">
        <v>49381</v>
      </c>
      <c r="G6" t="s">
        <v>18</v>
      </c>
      <c r="H6">
        <v>9.6000000000000002E-2</v>
      </c>
      <c r="I6" s="1">
        <v>58692</v>
      </c>
      <c r="J6" t="s">
        <v>8</v>
      </c>
      <c r="K6">
        <v>4.1000000000000002E-2</v>
      </c>
      <c r="L6" s="1">
        <v>24766</v>
      </c>
      <c r="N6" s="4" t="s">
        <v>8</v>
      </c>
      <c r="O6" s="1">
        <v>69141</v>
      </c>
    </row>
    <row r="7" spans="1:15" x14ac:dyDescent="0.25">
      <c r="A7" t="s">
        <v>12</v>
      </c>
      <c r="B7">
        <v>7.2999999999999995E-2</v>
      </c>
      <c r="C7" s="1">
        <v>44401</v>
      </c>
      <c r="D7">
        <v>347</v>
      </c>
      <c r="E7">
        <v>7.0000000000000007E-2</v>
      </c>
      <c r="F7" s="1">
        <v>44748</v>
      </c>
      <c r="G7" t="s">
        <v>42</v>
      </c>
      <c r="H7">
        <v>6.6000000000000003E-2</v>
      </c>
      <c r="I7" s="1">
        <v>40107</v>
      </c>
      <c r="J7" t="s">
        <v>22</v>
      </c>
      <c r="K7">
        <v>3.6999999999999998E-2</v>
      </c>
      <c r="L7" s="1">
        <v>22602</v>
      </c>
      <c r="N7" s="5" t="s">
        <v>55</v>
      </c>
      <c r="O7" s="1">
        <v>65789</v>
      </c>
    </row>
    <row r="8" spans="1:15" x14ac:dyDescent="0.25">
      <c r="A8" t="s">
        <v>54</v>
      </c>
      <c r="B8">
        <v>6.8000000000000005E-2</v>
      </c>
      <c r="C8" s="1">
        <v>41470</v>
      </c>
      <c r="D8" s="1">
        <v>1158</v>
      </c>
      <c r="E8">
        <v>6.7000000000000004E-2</v>
      </c>
      <c r="F8" s="1">
        <v>42628</v>
      </c>
      <c r="G8" t="s">
        <v>20</v>
      </c>
      <c r="H8">
        <v>5.2999999999999999E-2</v>
      </c>
      <c r="I8" s="1">
        <v>32064</v>
      </c>
      <c r="J8" t="s">
        <v>25</v>
      </c>
      <c r="K8">
        <v>1.7000000000000001E-2</v>
      </c>
      <c r="L8" s="1">
        <v>10662</v>
      </c>
      <c r="N8" s="5" t="s">
        <v>28</v>
      </c>
      <c r="O8" s="1">
        <v>64818</v>
      </c>
    </row>
    <row r="9" spans="1:15" x14ac:dyDescent="0.25">
      <c r="A9" t="s">
        <v>19</v>
      </c>
      <c r="B9">
        <v>6.6000000000000003E-2</v>
      </c>
      <c r="C9" s="1">
        <v>40585</v>
      </c>
      <c r="D9">
        <v>235</v>
      </c>
      <c r="E9">
        <v>6.4000000000000001E-2</v>
      </c>
      <c r="F9" s="1">
        <v>40820</v>
      </c>
      <c r="G9" t="s">
        <v>11</v>
      </c>
      <c r="H9">
        <v>4.8000000000000001E-2</v>
      </c>
      <c r="I9" s="1">
        <v>29559</v>
      </c>
      <c r="J9" t="s">
        <v>32</v>
      </c>
      <c r="K9">
        <v>1.6E-2</v>
      </c>
      <c r="L9" s="1">
        <v>9738</v>
      </c>
      <c r="N9" s="5" t="s">
        <v>18</v>
      </c>
      <c r="O9" s="1">
        <v>58692</v>
      </c>
    </row>
    <row r="10" spans="1:15" x14ac:dyDescent="0.25">
      <c r="A10" t="s">
        <v>22</v>
      </c>
      <c r="B10">
        <v>5.6000000000000001E-2</v>
      </c>
      <c r="C10" s="1">
        <v>34360</v>
      </c>
      <c r="D10">
        <v>424</v>
      </c>
      <c r="E10">
        <v>5.3999999999999999E-2</v>
      </c>
      <c r="F10" s="1">
        <v>34784</v>
      </c>
      <c r="G10" t="s">
        <v>23</v>
      </c>
      <c r="H10">
        <v>0.04</v>
      </c>
      <c r="I10" s="1">
        <v>24466</v>
      </c>
      <c r="J10" t="s">
        <v>29</v>
      </c>
      <c r="K10">
        <v>1.2999999999999999E-2</v>
      </c>
      <c r="L10" s="1">
        <v>8216</v>
      </c>
      <c r="N10" s="4" t="s">
        <v>29</v>
      </c>
      <c r="O10" s="1">
        <v>55846</v>
      </c>
    </row>
    <row r="11" spans="1:15" x14ac:dyDescent="0.25">
      <c r="A11" t="s">
        <v>25</v>
      </c>
      <c r="B11">
        <v>4.8000000000000001E-2</v>
      </c>
      <c r="C11" s="1">
        <v>29425</v>
      </c>
      <c r="D11">
        <v>168</v>
      </c>
      <c r="E11">
        <v>4.5999999999999999E-2</v>
      </c>
      <c r="F11" s="1">
        <v>29593</v>
      </c>
      <c r="G11" t="s">
        <v>39</v>
      </c>
      <c r="H11">
        <v>1.6E-2</v>
      </c>
      <c r="I11" s="1">
        <v>9768</v>
      </c>
      <c r="J11" t="s">
        <v>24</v>
      </c>
      <c r="K11">
        <v>3.0000000000000001E-3</v>
      </c>
      <c r="L11" s="1">
        <v>1784</v>
      </c>
      <c r="N11" s="4" t="s">
        <v>38</v>
      </c>
      <c r="O11" s="1">
        <v>50805</v>
      </c>
    </row>
    <row r="12" spans="1:15" x14ac:dyDescent="0.25">
      <c r="A12" t="s">
        <v>44</v>
      </c>
      <c r="B12">
        <v>2.3E-2</v>
      </c>
      <c r="C12" s="1">
        <v>14215</v>
      </c>
      <c r="D12">
        <v>47</v>
      </c>
      <c r="E12">
        <v>2.1999999999999999E-2</v>
      </c>
      <c r="F12" s="1">
        <v>14262</v>
      </c>
      <c r="G12" s="3" t="s">
        <v>30</v>
      </c>
      <c r="H12">
        <v>1.4E-2</v>
      </c>
      <c r="I12" s="1">
        <v>8539</v>
      </c>
      <c r="J12" t="s">
        <v>50</v>
      </c>
      <c r="K12">
        <v>3.0000000000000001E-3</v>
      </c>
      <c r="L12" s="1">
        <v>1806</v>
      </c>
      <c r="N12" s="4" t="s">
        <v>14</v>
      </c>
      <c r="O12" s="1">
        <v>49016</v>
      </c>
    </row>
    <row r="13" spans="1:15" x14ac:dyDescent="0.25">
      <c r="A13" t="s">
        <v>50</v>
      </c>
      <c r="B13">
        <v>2.1999999999999999E-2</v>
      </c>
      <c r="C13" s="1">
        <v>13556</v>
      </c>
      <c r="D13">
        <v>120</v>
      </c>
      <c r="E13">
        <v>2.1000000000000001E-2</v>
      </c>
      <c r="F13" s="1">
        <v>13676</v>
      </c>
      <c r="G13" t="s">
        <v>13</v>
      </c>
      <c r="H13">
        <v>1.2E-2</v>
      </c>
      <c r="I13" s="1">
        <v>7336</v>
      </c>
      <c r="J13" t="s">
        <v>54</v>
      </c>
      <c r="K13">
        <v>3.0000000000000001E-3</v>
      </c>
      <c r="L13" s="1">
        <v>2091</v>
      </c>
      <c r="N13" s="6" t="s">
        <v>19</v>
      </c>
      <c r="O13" s="1">
        <v>46910</v>
      </c>
    </row>
    <row r="14" spans="1:15" x14ac:dyDescent="0.25">
      <c r="A14" t="s">
        <v>47</v>
      </c>
      <c r="B14">
        <v>1.6E-2</v>
      </c>
      <c r="C14" s="1">
        <v>9501</v>
      </c>
      <c r="D14" s="1">
        <v>23125</v>
      </c>
      <c r="E14">
        <v>5.0999999999999997E-2</v>
      </c>
      <c r="F14" s="1">
        <v>32626</v>
      </c>
      <c r="G14" s="3" t="s">
        <v>45</v>
      </c>
      <c r="H14">
        <v>8.9999999999999993E-3</v>
      </c>
      <c r="I14" s="1">
        <v>5695</v>
      </c>
      <c r="J14" t="s">
        <v>14</v>
      </c>
      <c r="K14">
        <v>2E-3</v>
      </c>
      <c r="L14" s="1">
        <v>1126</v>
      </c>
      <c r="N14" s="4" t="s">
        <v>12</v>
      </c>
      <c r="O14" s="1">
        <v>44401</v>
      </c>
    </row>
    <row r="15" spans="1:15" x14ac:dyDescent="0.25">
      <c r="A15" t="s">
        <v>52</v>
      </c>
      <c r="B15">
        <v>1.4999999999999999E-2</v>
      </c>
      <c r="C15" s="1">
        <v>9359</v>
      </c>
      <c r="D15">
        <v>75</v>
      </c>
      <c r="E15">
        <v>1.4999999999999999E-2</v>
      </c>
      <c r="F15" s="1">
        <v>9434</v>
      </c>
      <c r="G15" s="3" t="s">
        <v>57</v>
      </c>
      <c r="H15">
        <v>8.9999999999999993E-3</v>
      </c>
      <c r="I15" s="1">
        <v>5778</v>
      </c>
      <c r="J15" t="s">
        <v>56</v>
      </c>
      <c r="K15">
        <v>2E-3</v>
      </c>
      <c r="L15" s="1">
        <v>1501</v>
      </c>
      <c r="N15" s="6" t="s">
        <v>35</v>
      </c>
      <c r="O15" s="1">
        <v>42995</v>
      </c>
    </row>
    <row r="16" spans="1:15" x14ac:dyDescent="0.25">
      <c r="A16" s="3" t="s">
        <v>10</v>
      </c>
      <c r="B16">
        <v>1.0999999999999999E-2</v>
      </c>
      <c r="C16" s="1">
        <v>6777</v>
      </c>
      <c r="D16">
        <v>30</v>
      </c>
      <c r="E16">
        <v>1.0999999999999999E-2</v>
      </c>
      <c r="F16" s="1">
        <v>6807</v>
      </c>
      <c r="G16" s="3" t="s">
        <v>36</v>
      </c>
      <c r="H16">
        <v>8.0000000000000002E-3</v>
      </c>
      <c r="I16" s="1">
        <v>4877</v>
      </c>
      <c r="J16" t="s">
        <v>38</v>
      </c>
      <c r="K16">
        <v>2E-3</v>
      </c>
      <c r="L16" s="1">
        <v>1190</v>
      </c>
      <c r="N16" s="4" t="s">
        <v>54</v>
      </c>
      <c r="O16" s="1">
        <v>41470</v>
      </c>
    </row>
    <row r="17" spans="1:15" x14ac:dyDescent="0.25">
      <c r="A17" s="3" t="s">
        <v>17</v>
      </c>
      <c r="B17">
        <v>6.0000000000000001E-3</v>
      </c>
      <c r="C17" s="1">
        <v>3573</v>
      </c>
      <c r="D17">
        <v>19</v>
      </c>
      <c r="E17">
        <v>6.0000000000000001E-3</v>
      </c>
      <c r="F17" s="1">
        <v>3592</v>
      </c>
      <c r="G17" t="s">
        <v>53</v>
      </c>
      <c r="H17">
        <v>8.0000000000000002E-3</v>
      </c>
      <c r="I17" s="1">
        <v>5057</v>
      </c>
      <c r="J17" t="s">
        <v>52</v>
      </c>
      <c r="K17">
        <v>2E-3</v>
      </c>
      <c r="L17" s="1">
        <v>1466</v>
      </c>
      <c r="N17" s="4" t="s">
        <v>19</v>
      </c>
      <c r="O17" s="1">
        <v>40585</v>
      </c>
    </row>
    <row r="18" spans="1:15" x14ac:dyDescent="0.25">
      <c r="A18" s="3" t="s">
        <v>41</v>
      </c>
      <c r="B18">
        <v>5.0000000000000001E-3</v>
      </c>
      <c r="C18" s="1">
        <v>2856</v>
      </c>
      <c r="D18">
        <v>31</v>
      </c>
      <c r="E18">
        <v>5.0000000000000001E-3</v>
      </c>
      <c r="F18" s="1">
        <v>2887</v>
      </c>
      <c r="G18" s="3" t="s">
        <v>51</v>
      </c>
      <c r="H18">
        <v>6.0000000000000001E-3</v>
      </c>
      <c r="I18" s="1">
        <v>3570</v>
      </c>
      <c r="J18" t="s">
        <v>10</v>
      </c>
      <c r="K18">
        <v>1E-3</v>
      </c>
      <c r="L18">
        <v>308</v>
      </c>
      <c r="N18" s="5" t="s">
        <v>42</v>
      </c>
      <c r="O18" s="1">
        <v>40107</v>
      </c>
    </row>
    <row r="19" spans="1:15" x14ac:dyDescent="0.25">
      <c r="A19" s="3" t="s">
        <v>27</v>
      </c>
      <c r="B19">
        <v>4.0000000000000001E-3</v>
      </c>
      <c r="C19" s="1">
        <v>2378</v>
      </c>
      <c r="D19">
        <v>10</v>
      </c>
      <c r="E19">
        <v>4.0000000000000001E-3</v>
      </c>
      <c r="F19" s="1">
        <v>2388</v>
      </c>
      <c r="G19" s="3" t="s">
        <v>26</v>
      </c>
      <c r="H19">
        <v>4.0000000000000001E-3</v>
      </c>
      <c r="I19" s="1">
        <v>2617</v>
      </c>
      <c r="J19" t="s">
        <v>31</v>
      </c>
      <c r="K19">
        <v>1E-3</v>
      </c>
      <c r="L19">
        <v>368</v>
      </c>
      <c r="N19" s="4" t="s">
        <v>22</v>
      </c>
      <c r="O19" s="1">
        <v>34360</v>
      </c>
    </row>
    <row r="20" spans="1:15" x14ac:dyDescent="0.25">
      <c r="A20" s="3" t="s">
        <v>32</v>
      </c>
      <c r="B20">
        <v>4.0000000000000001E-3</v>
      </c>
      <c r="C20" s="1">
        <v>2446</v>
      </c>
      <c r="D20">
        <v>31</v>
      </c>
      <c r="E20">
        <v>4.0000000000000001E-3</v>
      </c>
      <c r="F20" s="1">
        <v>2477</v>
      </c>
      <c r="G20" s="3" t="s">
        <v>33</v>
      </c>
      <c r="H20">
        <v>2E-3</v>
      </c>
      <c r="I20" s="1">
        <v>1105</v>
      </c>
      <c r="J20" t="s">
        <v>49</v>
      </c>
      <c r="K20">
        <v>1E-3</v>
      </c>
      <c r="L20">
        <v>342</v>
      </c>
      <c r="N20" s="5" t="s">
        <v>20</v>
      </c>
      <c r="O20" s="1">
        <v>32064</v>
      </c>
    </row>
    <row r="21" spans="1:15" x14ac:dyDescent="0.25">
      <c r="G21" s="3" t="s">
        <v>15</v>
      </c>
      <c r="H21">
        <v>0</v>
      </c>
      <c r="I21">
        <v>244</v>
      </c>
      <c r="J21" t="s">
        <v>44</v>
      </c>
      <c r="K21">
        <v>1E-3</v>
      </c>
      <c r="L21">
        <v>573</v>
      </c>
      <c r="N21" s="5" t="s">
        <v>11</v>
      </c>
      <c r="O21" s="1">
        <v>29559</v>
      </c>
    </row>
    <row r="22" spans="1:15" x14ac:dyDescent="0.25">
      <c r="G22" s="3" t="s">
        <v>48</v>
      </c>
      <c r="H22">
        <v>0</v>
      </c>
      <c r="I22">
        <v>282</v>
      </c>
      <c r="J22" t="s">
        <v>47</v>
      </c>
      <c r="K22">
        <v>1E-3</v>
      </c>
      <c r="L22">
        <v>662</v>
      </c>
      <c r="N22" s="4" t="s">
        <v>25</v>
      </c>
      <c r="O22" s="1">
        <v>29425</v>
      </c>
    </row>
    <row r="23" spans="1:15" x14ac:dyDescent="0.25">
      <c r="J23" t="s">
        <v>16</v>
      </c>
      <c r="K23">
        <v>0</v>
      </c>
      <c r="L23">
        <v>23</v>
      </c>
      <c r="N23" s="6" t="s">
        <v>8</v>
      </c>
      <c r="O23" s="1">
        <v>24766</v>
      </c>
    </row>
    <row r="24" spans="1:15" x14ac:dyDescent="0.25">
      <c r="J24" t="s">
        <v>21</v>
      </c>
      <c r="K24">
        <v>0</v>
      </c>
      <c r="L24">
        <v>90</v>
      </c>
      <c r="N24" s="5" t="s">
        <v>23</v>
      </c>
      <c r="O24" s="1">
        <v>24466</v>
      </c>
    </row>
    <row r="25" spans="1:15" x14ac:dyDescent="0.25">
      <c r="J25" t="s">
        <v>34</v>
      </c>
      <c r="K25">
        <v>0</v>
      </c>
      <c r="L25">
        <v>132</v>
      </c>
      <c r="N25" s="6" t="s">
        <v>22</v>
      </c>
      <c r="O25" s="1">
        <v>22602</v>
      </c>
    </row>
    <row r="26" spans="1:15" x14ac:dyDescent="0.25">
      <c r="J26" t="s">
        <v>37</v>
      </c>
      <c r="K26">
        <v>0</v>
      </c>
      <c r="L26">
        <v>90</v>
      </c>
      <c r="N26" s="4" t="s">
        <v>44</v>
      </c>
      <c r="O26" s="1">
        <v>14215</v>
      </c>
    </row>
    <row r="27" spans="1:15" x14ac:dyDescent="0.25">
      <c r="J27" t="s">
        <v>40</v>
      </c>
      <c r="K27">
        <v>0</v>
      </c>
      <c r="L27">
        <v>6</v>
      </c>
      <c r="N27" s="4" t="s">
        <v>50</v>
      </c>
      <c r="O27" s="1">
        <v>13556</v>
      </c>
    </row>
    <row r="28" spans="1:15" x14ac:dyDescent="0.25">
      <c r="J28" t="s">
        <v>43</v>
      </c>
      <c r="K28">
        <v>0</v>
      </c>
      <c r="L28">
        <v>31</v>
      </c>
      <c r="N28" s="6" t="s">
        <v>25</v>
      </c>
      <c r="O28" s="1">
        <v>10662</v>
      </c>
    </row>
    <row r="29" spans="1:15" x14ac:dyDescent="0.25">
      <c r="J29" t="s">
        <v>46</v>
      </c>
      <c r="K29">
        <v>0</v>
      </c>
      <c r="L29">
        <v>6</v>
      </c>
      <c r="N29" s="5" t="s">
        <v>39</v>
      </c>
      <c r="O29" s="1">
        <v>9768</v>
      </c>
    </row>
    <row r="30" spans="1:15" x14ac:dyDescent="0.25">
      <c r="N30" s="6" t="s">
        <v>32</v>
      </c>
      <c r="O30" s="1">
        <v>9738</v>
      </c>
    </row>
    <row r="31" spans="1:15" x14ac:dyDescent="0.25">
      <c r="N31" s="4" t="s">
        <v>47</v>
      </c>
      <c r="O31" s="1">
        <v>9501</v>
      </c>
    </row>
    <row r="32" spans="1:15" x14ac:dyDescent="0.25">
      <c r="N32" s="4" t="s">
        <v>52</v>
      </c>
      <c r="O32" s="1">
        <v>9359</v>
      </c>
    </row>
    <row r="33" spans="14:15" x14ac:dyDescent="0.25">
      <c r="N33" s="6" t="s">
        <v>29</v>
      </c>
      <c r="O33" s="1">
        <v>8216</v>
      </c>
    </row>
    <row r="34" spans="14:15" x14ac:dyDescent="0.25">
      <c r="N34" s="5" t="s">
        <v>13</v>
      </c>
      <c r="O34" s="1">
        <v>7336</v>
      </c>
    </row>
    <row r="35" spans="14:15" x14ac:dyDescent="0.25">
      <c r="N35" s="4" t="s">
        <v>10</v>
      </c>
      <c r="O35" s="1">
        <v>6777</v>
      </c>
    </row>
    <row r="36" spans="14:15" x14ac:dyDescent="0.25">
      <c r="N36" s="5" t="s">
        <v>53</v>
      </c>
      <c r="O36" s="1">
        <v>5057</v>
      </c>
    </row>
    <row r="37" spans="14:15" x14ac:dyDescent="0.25">
      <c r="N37" s="5" t="s">
        <v>36</v>
      </c>
      <c r="O37" s="1">
        <v>4877</v>
      </c>
    </row>
    <row r="38" spans="14:15" x14ac:dyDescent="0.25">
      <c r="N38" s="4" t="s">
        <v>17</v>
      </c>
      <c r="O38" s="1">
        <v>3573</v>
      </c>
    </row>
    <row r="39" spans="14:15" x14ac:dyDescent="0.25">
      <c r="N39" s="4" t="s">
        <v>41</v>
      </c>
      <c r="O39" s="1">
        <v>2856</v>
      </c>
    </row>
    <row r="40" spans="14:15" x14ac:dyDescent="0.25">
      <c r="N40" s="5" t="s">
        <v>26</v>
      </c>
      <c r="O40" s="1">
        <v>2617</v>
      </c>
    </row>
    <row r="41" spans="14:15" x14ac:dyDescent="0.25">
      <c r="N41" s="4" t="s">
        <v>32</v>
      </c>
      <c r="O41" s="1">
        <v>2446</v>
      </c>
    </row>
    <row r="42" spans="14:15" x14ac:dyDescent="0.25">
      <c r="N42" s="4" t="s">
        <v>27</v>
      </c>
      <c r="O42" s="1">
        <v>2378</v>
      </c>
    </row>
    <row r="43" spans="14:15" x14ac:dyDescent="0.25">
      <c r="N43" s="6" t="s">
        <v>54</v>
      </c>
      <c r="O43" s="1">
        <v>2091</v>
      </c>
    </row>
    <row r="44" spans="14:15" x14ac:dyDescent="0.25">
      <c r="N44" s="6" t="s">
        <v>50</v>
      </c>
      <c r="O44" s="1">
        <v>1806</v>
      </c>
    </row>
    <row r="45" spans="14:15" x14ac:dyDescent="0.25">
      <c r="N45" s="6" t="s">
        <v>24</v>
      </c>
      <c r="O45" s="1">
        <v>1784</v>
      </c>
    </row>
    <row r="46" spans="14:15" x14ac:dyDescent="0.25">
      <c r="N46" s="6" t="s">
        <v>56</v>
      </c>
      <c r="O46" s="1">
        <v>1501</v>
      </c>
    </row>
    <row r="47" spans="14:15" x14ac:dyDescent="0.25">
      <c r="N47" s="6" t="s">
        <v>52</v>
      </c>
      <c r="O47" s="1">
        <v>1466</v>
      </c>
    </row>
    <row r="48" spans="14:15" x14ac:dyDescent="0.25">
      <c r="N48" s="6" t="s">
        <v>38</v>
      </c>
      <c r="O48" s="1">
        <v>1190</v>
      </c>
    </row>
    <row r="49" spans="14:15" x14ac:dyDescent="0.25">
      <c r="N49" s="6" t="s">
        <v>14</v>
      </c>
      <c r="O49" s="1">
        <v>1126</v>
      </c>
    </row>
    <row r="50" spans="14:15" x14ac:dyDescent="0.25">
      <c r="N50" s="6" t="s">
        <v>47</v>
      </c>
      <c r="O50">
        <v>662</v>
      </c>
    </row>
    <row r="51" spans="14:15" x14ac:dyDescent="0.25">
      <c r="N51" s="6" t="s">
        <v>44</v>
      </c>
      <c r="O51">
        <v>573</v>
      </c>
    </row>
    <row r="52" spans="14:15" x14ac:dyDescent="0.25">
      <c r="N52" s="6" t="s">
        <v>31</v>
      </c>
      <c r="O52">
        <v>368</v>
      </c>
    </row>
    <row r="53" spans="14:15" x14ac:dyDescent="0.25">
      <c r="N53" s="6" t="s">
        <v>49</v>
      </c>
      <c r="O53">
        <v>342</v>
      </c>
    </row>
    <row r="54" spans="14:15" x14ac:dyDescent="0.25">
      <c r="N54" s="6" t="s">
        <v>10</v>
      </c>
      <c r="O54">
        <v>308</v>
      </c>
    </row>
    <row r="55" spans="14:15" x14ac:dyDescent="0.25">
      <c r="N55" s="5" t="s">
        <v>15</v>
      </c>
      <c r="O55">
        <v>244</v>
      </c>
    </row>
  </sheetData>
  <sortState ref="N2:O55">
    <sortCondition descending="1" ref="O2:O55"/>
  </sortState>
  <conditionalFormatting sqref="B2:B2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{60C98163-34D4-4579-92E7-9C70B01876E0}</x14:id>
        </ext>
      </extLst>
    </cfRule>
  </conditionalFormatting>
  <conditionalFormatting sqref="H2:H2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{89F5812B-FD32-45DE-B9D2-8C9B0DCC5112}</x14:id>
        </ext>
      </extLst>
    </cfRule>
  </conditionalFormatting>
  <conditionalFormatting sqref="K2:K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{00E20BF9-3FD2-444B-AAE8-3EEEF0549A20}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C98163-34D4-4579-92E7-9C70B0187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B2:B20</xm:sqref>
        </x14:conditionalFormatting>
        <x14:conditionalFormatting xmlns:xm="http://schemas.microsoft.com/office/excel/2006/main">
          <x14:cfRule type="dataBar" id="{89F5812B-FD32-45DE-B9D2-8C9B0DCC5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H2:H22</xm:sqref>
        </x14:conditionalFormatting>
        <x14:conditionalFormatting xmlns:xm="http://schemas.microsoft.com/office/excel/2006/main">
          <x14:cfRule type="dataBar" id="{00E20BF9-3FD2-444B-AAE8-3EEEF0549A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opLeftCell="A40" workbookViewId="0">
      <selection sqref="A1:B67"/>
    </sheetView>
  </sheetViews>
  <sheetFormatPr defaultRowHeight="15" x14ac:dyDescent="0.25"/>
  <sheetData>
    <row r="1" spans="1:2" x14ac:dyDescent="0.25">
      <c r="A1" s="4" t="s">
        <v>35</v>
      </c>
      <c r="B1">
        <v>37184</v>
      </c>
    </row>
    <row r="2" spans="1:2" x14ac:dyDescent="0.25">
      <c r="A2" s="5" t="s">
        <v>9</v>
      </c>
      <c r="B2">
        <v>34363</v>
      </c>
    </row>
    <row r="3" spans="1:2" x14ac:dyDescent="0.25">
      <c r="A3" s="5" t="s">
        <v>58</v>
      </c>
      <c r="B3">
        <v>22284</v>
      </c>
    </row>
    <row r="4" spans="1:2" x14ac:dyDescent="0.25">
      <c r="A4" s="6" t="s">
        <v>12</v>
      </c>
      <c r="B4">
        <v>20924</v>
      </c>
    </row>
    <row r="5" spans="1:2" x14ac:dyDescent="0.25">
      <c r="A5" s="5" t="s">
        <v>55</v>
      </c>
      <c r="B5">
        <v>20740</v>
      </c>
    </row>
    <row r="6" spans="1:2" x14ac:dyDescent="0.25">
      <c r="A6" s="4" t="s">
        <v>8</v>
      </c>
      <c r="B6">
        <v>18554</v>
      </c>
    </row>
    <row r="7" spans="1:2" x14ac:dyDescent="0.25">
      <c r="A7" s="5" t="s">
        <v>18</v>
      </c>
      <c r="B7">
        <v>15540</v>
      </c>
    </row>
    <row r="8" spans="1:2" x14ac:dyDescent="0.25">
      <c r="A8" s="6" t="s">
        <v>19</v>
      </c>
      <c r="B8">
        <v>14495</v>
      </c>
    </row>
    <row r="9" spans="1:2" x14ac:dyDescent="0.25">
      <c r="A9" s="5" t="s">
        <v>28</v>
      </c>
      <c r="B9">
        <v>14067</v>
      </c>
    </row>
    <row r="10" spans="1:2" x14ac:dyDescent="0.25">
      <c r="A10" s="4" t="s">
        <v>14</v>
      </c>
      <c r="B10">
        <v>13269</v>
      </c>
    </row>
    <row r="11" spans="1:2" x14ac:dyDescent="0.25">
      <c r="A11" s="4" t="s">
        <v>29</v>
      </c>
      <c r="B11">
        <v>12096</v>
      </c>
    </row>
    <row r="12" spans="1:2" x14ac:dyDescent="0.25">
      <c r="A12" s="4" t="s">
        <v>19</v>
      </c>
      <c r="B12">
        <v>11271</v>
      </c>
    </row>
    <row r="13" spans="1:2" x14ac:dyDescent="0.25">
      <c r="A13" s="4" t="s">
        <v>12</v>
      </c>
      <c r="B13">
        <v>10883</v>
      </c>
    </row>
    <row r="14" spans="1:2" x14ac:dyDescent="0.25">
      <c r="A14" s="4" t="s">
        <v>38</v>
      </c>
      <c r="B14">
        <v>10370</v>
      </c>
    </row>
    <row r="15" spans="1:2" x14ac:dyDescent="0.25">
      <c r="A15" s="4" t="s">
        <v>54</v>
      </c>
      <c r="B15">
        <v>9886</v>
      </c>
    </row>
    <row r="16" spans="1:2" x14ac:dyDescent="0.25">
      <c r="A16" s="5" t="s">
        <v>42</v>
      </c>
      <c r="B16">
        <v>9480</v>
      </c>
    </row>
    <row r="17" spans="1:2" x14ac:dyDescent="0.25">
      <c r="A17" s="6" t="s">
        <v>35</v>
      </c>
      <c r="B17">
        <v>7995</v>
      </c>
    </row>
    <row r="18" spans="1:2" x14ac:dyDescent="0.25">
      <c r="A18" s="4" t="s">
        <v>22</v>
      </c>
      <c r="B18">
        <v>7848</v>
      </c>
    </row>
    <row r="19" spans="1:2" x14ac:dyDescent="0.25">
      <c r="A19" s="5" t="s">
        <v>23</v>
      </c>
      <c r="B19">
        <v>6197</v>
      </c>
    </row>
    <row r="20" spans="1:2" x14ac:dyDescent="0.25">
      <c r="A20" s="5" t="s">
        <v>20</v>
      </c>
      <c r="B20">
        <v>6134</v>
      </c>
    </row>
    <row r="21" spans="1:2" x14ac:dyDescent="0.25">
      <c r="A21" s="5" t="s">
        <v>11</v>
      </c>
      <c r="B21">
        <v>5927</v>
      </c>
    </row>
    <row r="22" spans="1:2" x14ac:dyDescent="0.25">
      <c r="A22" s="6" t="s">
        <v>8</v>
      </c>
      <c r="B22">
        <v>5880</v>
      </c>
    </row>
    <row r="23" spans="1:2" x14ac:dyDescent="0.25">
      <c r="A23" s="4" t="s">
        <v>25</v>
      </c>
      <c r="B23">
        <v>5088</v>
      </c>
    </row>
    <row r="24" spans="1:2" x14ac:dyDescent="0.25">
      <c r="A24" s="6" t="s">
        <v>22</v>
      </c>
      <c r="B24">
        <v>4236</v>
      </c>
    </row>
    <row r="25" spans="1:2" x14ac:dyDescent="0.25">
      <c r="A25" s="6" t="s">
        <v>32</v>
      </c>
      <c r="B25">
        <v>3370</v>
      </c>
    </row>
    <row r="26" spans="1:2" x14ac:dyDescent="0.25">
      <c r="A26" s="5" t="s">
        <v>57</v>
      </c>
      <c r="B26">
        <v>2797</v>
      </c>
    </row>
    <row r="27" spans="1:2" x14ac:dyDescent="0.25">
      <c r="A27" s="6" t="s">
        <v>29</v>
      </c>
      <c r="B27">
        <v>2405</v>
      </c>
    </row>
    <row r="28" spans="1:2" x14ac:dyDescent="0.25">
      <c r="A28" s="5" t="s">
        <v>30</v>
      </c>
      <c r="B28">
        <v>2400</v>
      </c>
    </row>
    <row r="29" spans="1:2" x14ac:dyDescent="0.25">
      <c r="A29" s="4" t="s">
        <v>44</v>
      </c>
      <c r="B29">
        <v>2383</v>
      </c>
    </row>
    <row r="30" spans="1:2" x14ac:dyDescent="0.25">
      <c r="A30" s="6" t="s">
        <v>25</v>
      </c>
      <c r="B30">
        <v>1575</v>
      </c>
    </row>
    <row r="31" spans="1:2" x14ac:dyDescent="0.25">
      <c r="A31" s="4" t="s">
        <v>17</v>
      </c>
      <c r="B31">
        <v>1493</v>
      </c>
    </row>
    <row r="32" spans="1:2" x14ac:dyDescent="0.25">
      <c r="A32" s="4" t="s">
        <v>50</v>
      </c>
      <c r="B32">
        <v>1384</v>
      </c>
    </row>
    <row r="33" spans="1:2" x14ac:dyDescent="0.25">
      <c r="A33" s="5" t="s">
        <v>39</v>
      </c>
      <c r="B33">
        <v>1310</v>
      </c>
    </row>
    <row r="34" spans="1:2" x14ac:dyDescent="0.25">
      <c r="A34" s="4" t="s">
        <v>52</v>
      </c>
      <c r="B34">
        <v>1300</v>
      </c>
    </row>
    <row r="35" spans="1:2" x14ac:dyDescent="0.25">
      <c r="A35" s="5" t="s">
        <v>36</v>
      </c>
      <c r="B35">
        <v>1286</v>
      </c>
    </row>
    <row r="36" spans="1:2" x14ac:dyDescent="0.25">
      <c r="A36" s="4" t="s">
        <v>10</v>
      </c>
      <c r="B36">
        <v>1186</v>
      </c>
    </row>
    <row r="37" spans="1:2" x14ac:dyDescent="0.25">
      <c r="A37" s="5" t="s">
        <v>13</v>
      </c>
      <c r="B37">
        <v>1039</v>
      </c>
    </row>
    <row r="38" spans="1:2" x14ac:dyDescent="0.25">
      <c r="A38" s="5" t="s">
        <v>51</v>
      </c>
      <c r="B38">
        <v>810</v>
      </c>
    </row>
    <row r="39" spans="1:2" x14ac:dyDescent="0.25">
      <c r="A39" s="4" t="s">
        <v>32</v>
      </c>
      <c r="B39">
        <v>743</v>
      </c>
    </row>
    <row r="40" spans="1:2" x14ac:dyDescent="0.25">
      <c r="A40" s="5" t="s">
        <v>45</v>
      </c>
      <c r="B40">
        <v>565</v>
      </c>
    </row>
    <row r="41" spans="1:2" x14ac:dyDescent="0.25">
      <c r="A41" s="6" t="s">
        <v>24</v>
      </c>
      <c r="B41">
        <v>539</v>
      </c>
    </row>
    <row r="42" spans="1:2" x14ac:dyDescent="0.25">
      <c r="A42" s="6" t="s">
        <v>54</v>
      </c>
      <c r="B42">
        <v>535</v>
      </c>
    </row>
    <row r="43" spans="1:2" x14ac:dyDescent="0.25">
      <c r="A43" s="6" t="s">
        <v>50</v>
      </c>
      <c r="B43">
        <v>528</v>
      </c>
    </row>
    <row r="44" spans="1:2" x14ac:dyDescent="0.25">
      <c r="A44" s="5" t="s">
        <v>26</v>
      </c>
      <c r="B44">
        <v>527</v>
      </c>
    </row>
    <row r="45" spans="1:2" x14ac:dyDescent="0.25">
      <c r="A45" s="4" t="s">
        <v>47</v>
      </c>
      <c r="B45">
        <v>521</v>
      </c>
    </row>
    <row r="46" spans="1:2" x14ac:dyDescent="0.25">
      <c r="A46" s="6" t="s">
        <v>56</v>
      </c>
      <c r="B46">
        <v>482</v>
      </c>
    </row>
    <row r="47" spans="1:2" x14ac:dyDescent="0.25">
      <c r="A47" s="5" t="s">
        <v>53</v>
      </c>
      <c r="B47">
        <v>475</v>
      </c>
    </row>
    <row r="48" spans="1:2" x14ac:dyDescent="0.25">
      <c r="A48" s="6" t="s">
        <v>14</v>
      </c>
      <c r="B48">
        <v>441</v>
      </c>
    </row>
    <row r="49" spans="1:2" x14ac:dyDescent="0.25">
      <c r="A49" s="4" t="s">
        <v>41</v>
      </c>
      <c r="B49">
        <v>360</v>
      </c>
    </row>
    <row r="50" spans="1:2" x14ac:dyDescent="0.25">
      <c r="A50" s="6" t="s">
        <v>52</v>
      </c>
      <c r="B50">
        <v>349</v>
      </c>
    </row>
    <row r="51" spans="1:2" x14ac:dyDescent="0.25">
      <c r="A51" s="4" t="s">
        <v>27</v>
      </c>
      <c r="B51">
        <v>310</v>
      </c>
    </row>
    <row r="52" spans="1:2" x14ac:dyDescent="0.25">
      <c r="A52" s="6" t="s">
        <v>38</v>
      </c>
      <c r="B52">
        <v>305</v>
      </c>
    </row>
    <row r="53" spans="1:2" x14ac:dyDescent="0.25">
      <c r="A53" s="6" t="s">
        <v>31</v>
      </c>
      <c r="B53">
        <v>270</v>
      </c>
    </row>
    <row r="54" spans="1:2" x14ac:dyDescent="0.25">
      <c r="A54" s="6" t="s">
        <v>44</v>
      </c>
      <c r="B54">
        <v>210</v>
      </c>
    </row>
    <row r="55" spans="1:2" x14ac:dyDescent="0.25">
      <c r="A55" s="6" t="s">
        <v>10</v>
      </c>
      <c r="B55">
        <v>169</v>
      </c>
    </row>
    <row r="56" spans="1:2" x14ac:dyDescent="0.25">
      <c r="A56" s="5" t="s">
        <v>33</v>
      </c>
      <c r="B56">
        <v>131</v>
      </c>
    </row>
    <row r="57" spans="1:2" x14ac:dyDescent="0.25">
      <c r="A57" s="6" t="s">
        <v>34</v>
      </c>
      <c r="B57">
        <v>121</v>
      </c>
    </row>
    <row r="58" spans="1:2" x14ac:dyDescent="0.25">
      <c r="A58" s="6" t="s">
        <v>49</v>
      </c>
      <c r="B58">
        <v>92</v>
      </c>
    </row>
    <row r="59" spans="1:2" x14ac:dyDescent="0.25">
      <c r="A59" s="6" t="s">
        <v>21</v>
      </c>
      <c r="B59">
        <v>82</v>
      </c>
    </row>
    <row r="60" spans="1:2" x14ac:dyDescent="0.25">
      <c r="A60" s="6" t="s">
        <v>37</v>
      </c>
      <c r="B60">
        <v>64</v>
      </c>
    </row>
    <row r="61" spans="1:2" x14ac:dyDescent="0.25">
      <c r="A61" s="5" t="s">
        <v>48</v>
      </c>
      <c r="B61">
        <v>30</v>
      </c>
    </row>
    <row r="62" spans="1:2" x14ac:dyDescent="0.25">
      <c r="A62" s="5" t="s">
        <v>15</v>
      </c>
      <c r="B62">
        <v>26</v>
      </c>
    </row>
    <row r="63" spans="1:2" x14ac:dyDescent="0.25">
      <c r="A63" s="6" t="s">
        <v>47</v>
      </c>
      <c r="B63">
        <v>22</v>
      </c>
    </row>
    <row r="64" spans="1:2" x14ac:dyDescent="0.25">
      <c r="A64" s="6" t="s">
        <v>40</v>
      </c>
      <c r="B64">
        <v>12</v>
      </c>
    </row>
    <row r="65" spans="1:2" x14ac:dyDescent="0.25">
      <c r="A65" s="6" t="s">
        <v>46</v>
      </c>
      <c r="B65">
        <v>12</v>
      </c>
    </row>
    <row r="66" spans="1:2" x14ac:dyDescent="0.25">
      <c r="A66" s="6" t="s">
        <v>43</v>
      </c>
      <c r="B66">
        <v>12</v>
      </c>
    </row>
    <row r="67" spans="1:2" x14ac:dyDescent="0.25">
      <c r="A67" s="6" t="s">
        <v>16</v>
      </c>
      <c r="B67">
        <v>10</v>
      </c>
    </row>
  </sheetData>
  <sortState ref="A1:B67">
    <sortCondition descending="1" ref="B1:B6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H19" sqref="H19"/>
    </sheetView>
  </sheetViews>
  <sheetFormatPr defaultRowHeight="15" x14ac:dyDescent="0.25"/>
  <cols>
    <col min="1" max="14" width="3.7109375" customWidth="1"/>
  </cols>
  <sheetData>
    <row r="1" spans="1:14" x14ac:dyDescent="0.25">
      <c r="A1" s="50" t="s">
        <v>44</v>
      </c>
      <c r="B1" s="49" t="s">
        <v>52</v>
      </c>
      <c r="C1" s="55" t="s">
        <v>71</v>
      </c>
      <c r="D1" s="45" t="s">
        <v>61</v>
      </c>
      <c r="E1" s="45" t="s">
        <v>39</v>
      </c>
      <c r="F1" s="54" t="s">
        <v>50</v>
      </c>
      <c r="G1" s="54" t="s">
        <v>13</v>
      </c>
      <c r="H1" s="49" t="s">
        <v>29</v>
      </c>
      <c r="I1" s="45" t="s">
        <v>44</v>
      </c>
      <c r="J1" s="49" t="s">
        <v>25</v>
      </c>
      <c r="K1" s="45" t="s">
        <v>47</v>
      </c>
      <c r="L1" s="45" t="s">
        <v>53</v>
      </c>
      <c r="M1" s="52" t="s">
        <v>50</v>
      </c>
      <c r="N1" s="60"/>
    </row>
    <row r="2" spans="1:14" ht="15.75" thickBot="1" x14ac:dyDescent="0.3">
      <c r="A2" s="60"/>
      <c r="B2" s="30" t="s">
        <v>85</v>
      </c>
      <c r="C2" s="60" t="s">
        <v>54</v>
      </c>
      <c r="D2" s="93" t="s">
        <v>35</v>
      </c>
      <c r="E2" s="93" t="s">
        <v>19</v>
      </c>
      <c r="F2" s="22" t="s">
        <v>38</v>
      </c>
      <c r="G2" s="22" t="s">
        <v>60</v>
      </c>
      <c r="H2" s="60" t="s">
        <v>80</v>
      </c>
      <c r="I2" s="60" t="s">
        <v>29</v>
      </c>
      <c r="J2" s="60" t="s">
        <v>14</v>
      </c>
      <c r="K2" s="60" t="s">
        <v>12</v>
      </c>
      <c r="L2" s="60" t="s">
        <v>52</v>
      </c>
      <c r="M2" s="95" t="s">
        <v>54</v>
      </c>
      <c r="N2" s="53" t="s">
        <v>47</v>
      </c>
    </row>
    <row r="3" spans="1:14" ht="15.75" thickBot="1" x14ac:dyDescent="0.3">
      <c r="A3" s="60"/>
      <c r="B3" s="91" t="s">
        <v>14</v>
      </c>
      <c r="C3" s="60" t="s">
        <v>18</v>
      </c>
      <c r="D3" s="60" t="s">
        <v>55</v>
      </c>
      <c r="E3" s="94" t="s">
        <v>12</v>
      </c>
      <c r="F3" s="22" t="s">
        <v>35</v>
      </c>
      <c r="G3" s="51" t="s">
        <v>8</v>
      </c>
      <c r="H3" s="89" t="s">
        <v>9</v>
      </c>
      <c r="I3" s="60" t="s">
        <v>58</v>
      </c>
      <c r="J3" s="60" t="s">
        <v>8</v>
      </c>
      <c r="K3" s="60" t="s">
        <v>28</v>
      </c>
      <c r="L3" s="47" t="s">
        <v>38</v>
      </c>
      <c r="M3" s="60"/>
      <c r="N3" s="60"/>
    </row>
    <row r="4" spans="1:14" x14ac:dyDescent="0.25">
      <c r="A4" s="60"/>
      <c r="B4" s="92" t="s">
        <v>32</v>
      </c>
      <c r="C4" s="46" t="s">
        <v>25</v>
      </c>
      <c r="D4" s="46" t="s">
        <v>20</v>
      </c>
      <c r="E4" s="46" t="s">
        <v>42</v>
      </c>
      <c r="F4" s="47" t="s">
        <v>22</v>
      </c>
      <c r="G4" s="59" t="s">
        <v>23</v>
      </c>
      <c r="H4" s="46" t="s">
        <v>19</v>
      </c>
      <c r="I4" s="46" t="s">
        <v>22</v>
      </c>
      <c r="J4" s="46" t="s">
        <v>11</v>
      </c>
      <c r="K4" s="59" t="s">
        <v>81</v>
      </c>
      <c r="L4" s="60"/>
      <c r="M4" s="60"/>
      <c r="N4" s="60"/>
    </row>
    <row r="5" spans="1:14" x14ac:dyDescent="0.2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</row>
    <row r="6" spans="1:14" x14ac:dyDescent="0.2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</row>
    <row r="7" spans="1:14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</row>
    <row r="8" spans="1:14" x14ac:dyDescent="0.25">
      <c r="A8" s="86" t="s">
        <v>87</v>
      </c>
      <c r="B8" s="45">
        <v>1</v>
      </c>
      <c r="C8" s="45">
        <v>2</v>
      </c>
      <c r="D8" s="45">
        <v>3</v>
      </c>
      <c r="E8" s="45">
        <v>4</v>
      </c>
      <c r="F8" s="54">
        <v>5</v>
      </c>
      <c r="G8" s="54">
        <v>6</v>
      </c>
      <c r="H8" s="45">
        <v>7</v>
      </c>
      <c r="I8" s="45">
        <v>8</v>
      </c>
      <c r="J8" s="45">
        <v>9</v>
      </c>
      <c r="K8" s="45">
        <v>0</v>
      </c>
      <c r="L8" s="45" t="s">
        <v>82</v>
      </c>
      <c r="M8" s="54" t="s">
        <v>83</v>
      </c>
      <c r="N8" s="60"/>
    </row>
    <row r="9" spans="1:14" ht="15.75" thickBot="1" x14ac:dyDescent="0.3">
      <c r="A9" s="60"/>
      <c r="B9" s="30" t="s">
        <v>77</v>
      </c>
      <c r="C9" s="23" t="s">
        <v>78</v>
      </c>
      <c r="D9" s="23" t="s">
        <v>75</v>
      </c>
      <c r="E9" s="23" t="s">
        <v>76</v>
      </c>
      <c r="F9" s="22" t="s">
        <v>41</v>
      </c>
      <c r="G9" s="22"/>
      <c r="H9" s="23" t="s">
        <v>68</v>
      </c>
      <c r="I9" s="23" t="s">
        <v>32</v>
      </c>
      <c r="J9" s="23" t="s">
        <v>17</v>
      </c>
      <c r="K9" s="23" t="s">
        <v>64</v>
      </c>
      <c r="L9" s="23" t="s">
        <v>63</v>
      </c>
      <c r="M9" s="46" t="s">
        <v>90</v>
      </c>
      <c r="N9" s="87" t="s">
        <v>91</v>
      </c>
    </row>
    <row r="10" spans="1:14" ht="15.75" thickBot="1" x14ac:dyDescent="0.3">
      <c r="A10" s="60"/>
      <c r="B10" s="48" t="s">
        <v>17</v>
      </c>
      <c r="C10" s="23" t="s">
        <v>69</v>
      </c>
      <c r="D10" s="23" t="s">
        <v>70</v>
      </c>
      <c r="E10" s="90" t="s">
        <v>74</v>
      </c>
      <c r="F10" s="88" t="s">
        <v>79</v>
      </c>
      <c r="G10" s="51" t="s">
        <v>10</v>
      </c>
      <c r="H10" s="89" t="s">
        <v>88</v>
      </c>
      <c r="I10" s="23" t="s">
        <v>89</v>
      </c>
      <c r="J10" s="23" t="s">
        <v>10</v>
      </c>
      <c r="K10" s="23" t="s">
        <v>72</v>
      </c>
      <c r="L10" s="97" t="s">
        <v>41</v>
      </c>
      <c r="M10" s="60"/>
      <c r="N10" s="60"/>
    </row>
    <row r="11" spans="1:14" x14ac:dyDescent="0.25">
      <c r="A11" s="60"/>
      <c r="B11" s="57" t="s">
        <v>86</v>
      </c>
      <c r="C11" s="46" t="s">
        <v>27</v>
      </c>
      <c r="D11" s="96" t="s">
        <v>27</v>
      </c>
      <c r="E11" s="58" t="s">
        <v>67</v>
      </c>
      <c r="F11" s="56" t="s">
        <v>84</v>
      </c>
      <c r="G11" s="59" t="s">
        <v>66</v>
      </c>
      <c r="H11" s="46" t="s">
        <v>65</v>
      </c>
      <c r="I11" s="46" t="s">
        <v>62</v>
      </c>
      <c r="J11" s="46" t="s">
        <v>73</v>
      </c>
      <c r="K11" s="59"/>
      <c r="L11" s="60"/>
      <c r="M11" s="60"/>
      <c r="N11" s="6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Kim</dc:creator>
  <cp:lastModifiedBy>Rick Kim</cp:lastModifiedBy>
  <cp:lastPrinted>2018-02-19T01:17:05Z</cp:lastPrinted>
  <dcterms:created xsi:type="dcterms:W3CDTF">2018-01-09T23:13:31Z</dcterms:created>
  <dcterms:modified xsi:type="dcterms:W3CDTF">2018-02-19T03:23:03Z</dcterms:modified>
</cp:coreProperties>
</file>